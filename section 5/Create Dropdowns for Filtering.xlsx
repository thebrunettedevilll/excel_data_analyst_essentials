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7/"/>
    </mc:Choice>
  </mc:AlternateContent>
  <xr:revisionPtr revIDLastSave="43" documentId="11_60A949D31CADCCCC452AA8E819BB306981B98C25" xr6:coauthVersionLast="47" xr6:coauthVersionMax="47" xr10:uidLastSave="{0AF06B89-557F-4404-BF7B-7148192D254A}"/>
  <bookViews>
    <workbookView xWindow="-96" yWindow="0" windowWidth="11712" windowHeight="12336" xr2:uid="{00000000-000D-0000-FFFF-FFFF00000000}"/>
  </bookViews>
  <sheets>
    <sheet name="dashboard" sheetId="9" r:id="rId1"/>
    <sheet name="marketing_perf" sheetId="6" r:id="rId2"/>
    <sheet name="signups" sheetId="8" r:id="rId3"/>
  </sheets>
  <definedNames>
    <definedName name="_xlnm._FilterDatabase" localSheetId="1" hidden="1">marketing_perf!#REF!</definedName>
    <definedName name="ad_cost">marketing_perf!$H$2:$H$381</definedName>
    <definedName name="campaign">marketing_perf!$B$2:$B$381</definedName>
    <definedName name="category">marketing_perf!$C$2:$C$381</definedName>
    <definedName name="conv">marketing_perf!$F$2:$F$381</definedName>
    <definedName name="MARKETING_HEADERS">marketing_perf!$A$1:$H$1</definedName>
    <definedName name="MARKETING_PERF">marketing_perf!$A$1:$H$381</definedName>
    <definedName name="sales">marketing_perf!$G$2:$G$381</definedName>
    <definedName name="signups">marketing_perf!$E$2:$E$381</definedName>
    <definedName name="UNIQUE_KEYPHRASES">marketing_perf!$A$1:$A$381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" i="9" l="1"/>
  <c r="E6" i="9"/>
  <c r="D6" i="9"/>
  <c r="C6" i="9"/>
  <c r="E3" i="9"/>
  <c r="M6" i="9"/>
  <c r="L6" i="9"/>
  <c r="K6" i="9"/>
  <c r="J6" i="9"/>
  <c r="L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4" i="8"/>
  <c r="N4" i="8"/>
  <c r="O4" i="8"/>
</calcChain>
</file>

<file path=xl/sharedStrings.xml><?xml version="1.0" encoding="utf-8"?>
<sst xmlns="http://schemas.openxmlformats.org/spreadsheetml/2006/main" count="1194" uniqueCount="412">
  <si>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</si>
  <si>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</si>
  <si>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</si>
  <si>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</si>
  <si>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</si>
  <si>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</si>
  <si>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</si>
  <si>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</si>
  <si>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</si>
  <si>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</si>
  <si>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</si>
  <si>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</si>
  <si>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</si>
  <si>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</si>
  <si>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</si>
  <si>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</si>
  <si>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</si>
  <si>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</si>
  <si>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</si>
  <si>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</si>
  <si>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</si>
  <si>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</si>
  <si>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</si>
  <si>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</si>
  <si>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</si>
  <si>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</si>
  <si>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</si>
  <si>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</si>
  <si>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</si>
  <si>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</si>
  <si>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</si>
  <si>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</si>
  <si>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</si>
  <si>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</si>
  <si>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</si>
  <si>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</si>
  <si>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</si>
  <si>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</si>
  <si>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</si>
  <si>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</si>
  <si>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</si>
  <si>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</si>
  <si>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</si>
  <si>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</si>
  <si>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</si>
  <si>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</si>
  <si>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</si>
  <si>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</si>
  <si>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</si>
  <si>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</si>
  <si>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</si>
  <si>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</si>
  <si>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</si>
  <si>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</si>
  <si>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</si>
  <si>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</si>
  <si>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</si>
  <si>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</si>
  <si>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</si>
  <si>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</si>
  <si>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</si>
  <si>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</si>
  <si>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</si>
  <si>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</si>
  <si>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</si>
  <si>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</si>
  <si>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</si>
  <si>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</si>
  <si>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</si>
  <si>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</si>
  <si>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</si>
  <si>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</si>
  <si>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</si>
  <si>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</si>
  <si>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</si>
  <si>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</si>
  <si>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</si>
  <si>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</si>
  <si>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</si>
  <si>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</si>
  <si>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</si>
  <si>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</si>
  <si>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</si>
  <si>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</si>
  <si>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</si>
  <si>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</si>
  <si>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</si>
  <si>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</si>
  <si>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</si>
  <si>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</si>
  <si>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</si>
  <si>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</si>
  <si>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</si>
  <si>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</si>
  <si>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</si>
  <si>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</si>
  <si>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</si>
  <si>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</si>
  <si>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</si>
  <si>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</si>
  <si>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</si>
  <si>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</si>
  <si>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</si>
  <si>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</si>
  <si>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</si>
  <si>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</si>
  <si>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</si>
  <si>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</si>
  <si>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</si>
  <si>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</si>
  <si>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</si>
  <si>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</si>
  <si>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</si>
  <si>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</si>
  <si>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</si>
  <si>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</si>
  <si>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</si>
  <si>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</si>
  <si>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</si>
  <si>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</si>
  <si>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</si>
  <si>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</si>
  <si>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</si>
  <si>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</si>
  <si>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</si>
  <si>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</si>
  <si>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</si>
  <si>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</si>
  <si>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</si>
  <si>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</si>
  <si>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</si>
  <si>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</si>
  <si>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</si>
  <si>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</si>
  <si>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</si>
  <si>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</si>
  <si>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</si>
  <si>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</si>
  <si>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</si>
  <si>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</si>
  <si>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</si>
  <si>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</si>
  <si>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</si>
  <si>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</si>
  <si>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</si>
  <si>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</si>
  <si>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</si>
  <si>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</si>
  <si>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</si>
  <si>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</si>
  <si>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</si>
  <si>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</si>
  <si>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</si>
  <si>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</si>
  <si>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</si>
  <si>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</si>
  <si>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</si>
  <si>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</si>
  <si>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</si>
  <si>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</si>
  <si>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</si>
  <si>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</si>
  <si>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</si>
  <si>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</si>
  <si>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</si>
  <si>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</si>
  <si>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</si>
  <si>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</si>
  <si>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</si>
  <si>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</si>
  <si>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</si>
  <si>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</si>
  <si>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</si>
  <si>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</si>
  <si>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</si>
  <si>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</si>
  <si>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</si>
  <si>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</si>
  <si>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</si>
  <si>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</si>
  <si>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</si>
  <si>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</si>
  <si>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</si>
  <si>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</si>
  <si>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</si>
  <si>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</si>
  <si>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</si>
  <si>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</si>
  <si>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</si>
  <si>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</si>
  <si>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</si>
  <si>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</si>
  <si>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</si>
  <si>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</si>
  <si>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</si>
  <si>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</si>
  <si>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</si>
  <si>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</si>
  <si>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</si>
  <si>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</si>
  <si>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</si>
  <si>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</si>
  <si>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</si>
  <si>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</si>
  <si>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</si>
  <si>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</si>
  <si>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</si>
  <si>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</si>
  <si>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</si>
  <si>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</si>
  <si>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</si>
  <si>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</si>
  <si>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</si>
  <si>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</si>
  <si>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</si>
  <si>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</si>
  <si>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</si>
  <si>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</si>
  <si>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</si>
  <si>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</si>
  <si>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</si>
  <si>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</si>
  <si>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</si>
  <si>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</si>
  <si>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</si>
  <si>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</si>
  <si>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</si>
  <si>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</si>
  <si>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</si>
  <si>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</si>
  <si>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</si>
  <si>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</si>
  <si>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</si>
  <si>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</si>
  <si>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</si>
  <si>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</si>
  <si>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</si>
  <si>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</si>
  <si>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</si>
  <si>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</si>
  <si>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</si>
  <si>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</si>
  <si>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</si>
  <si>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</si>
  <si>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</si>
  <si>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</si>
  <si>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</si>
  <si>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</si>
  <si>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</si>
  <si>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</si>
  <si>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</si>
  <si>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</si>
  <si>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</si>
  <si>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</si>
  <si>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</si>
  <si>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</si>
  <si>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</si>
  <si>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</si>
  <si>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</si>
  <si>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</si>
  <si>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</si>
  <si>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</si>
  <si>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</si>
  <si>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</si>
  <si>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</si>
  <si>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</si>
  <si>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</si>
  <si>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</si>
  <si>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</si>
  <si>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</si>
  <si>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</si>
  <si>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</si>
  <si>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</si>
  <si>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</si>
  <si>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</si>
  <si>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</si>
  <si>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</si>
  <si>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</si>
  <si>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</si>
  <si>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</si>
  <si>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</si>
  <si>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</si>
  <si>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</si>
  <si>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</si>
  <si>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</si>
  <si>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</si>
  <si>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</si>
  <si>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</si>
  <si>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</si>
  <si>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</si>
  <si>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</si>
  <si>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</si>
  <si>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</si>
  <si>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</si>
  <si>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</si>
  <si>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</si>
  <si>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</si>
  <si>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</si>
  <si>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</si>
  <si>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</si>
  <si>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</si>
  <si>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</si>
  <si>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</si>
  <si>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</si>
  <si>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</si>
  <si>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</si>
  <si>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</si>
  <si>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</si>
  <si>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</si>
  <si>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</si>
  <si>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</si>
  <si>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</si>
  <si>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</si>
  <si>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</si>
  <si>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</si>
  <si>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</si>
  <si>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</si>
  <si>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</si>
  <si>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</si>
  <si>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</si>
  <si>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</si>
  <si>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</si>
  <si>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</si>
  <si>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</si>
  <si>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</si>
  <si>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</si>
  <si>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</si>
  <si>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</si>
  <si>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</si>
  <si>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</si>
  <si>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</si>
  <si>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</si>
  <si>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</si>
  <si>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</si>
  <si>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</si>
  <si>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</si>
  <si>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</si>
  <si>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</si>
  <si>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</si>
  <si>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</si>
  <si>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</si>
  <si>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</si>
  <si>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</si>
  <si>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</si>
  <si>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</si>
  <si>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</si>
  <si>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</si>
  <si>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</si>
  <si>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</si>
  <si>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</si>
  <si>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</si>
  <si>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</si>
  <si>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</si>
  <si>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</si>
  <si>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</si>
  <si>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</si>
  <si>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</si>
  <si>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</si>
  <si>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</si>
  <si>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</si>
  <si>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</si>
  <si>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</si>
  <si>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</si>
  <si>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</si>
  <si>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</si>
  <si>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</si>
  <si>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</si>
  <si>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</si>
  <si>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</si>
  <si>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</si>
  <si>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</si>
  <si>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</si>
  <si>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</si>
  <si>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</si>
  <si>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</si>
  <si>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</si>
  <si>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</si>
  <si>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</si>
  <si>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</si>
  <si>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</si>
  <si>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</si>
  <si>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</si>
  <si>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</si>
  <si>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</si>
  <si>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</si>
  <si>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</si>
  <si>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</si>
  <si>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</si>
  <si>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</si>
  <si>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</si>
  <si>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</si>
  <si>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</si>
  <si>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</si>
  <si>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</si>
  <si>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</si>
  <si>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</si>
  <si>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</si>
  <si>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</si>
  <si>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</si>
  <si>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</si>
  <si>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</si>
  <si>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</si>
  <si>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</si>
  <si>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</si>
  <si>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</si>
  <si>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</si>
  <si>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</si>
  <si>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</si>
  <si>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</si>
  <si>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</si>
  <si>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</si>
  <si>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Choose Campaign: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</si>
</sst>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HK$&quot;* #,##0.00_);_(&quot;HK$&quot;* \(#,##0.00\);_(&quot;HK$&quot;* &quot;-&quot;??_);_(@_)"/>
    <numFmt numFmtId="165" formatCode="_(* #,##0.00_);_(* \(#,##0.00\);_(* &quot;-&quot;??_);_(@_)"/>
    <numFmt numFmtId="166" formatCode="_([$$-409]* #,##0_);_([$$-409]* \(#,##0\);_([$$-409]* &quot;-&quot;??_);_(@_)"/>
    <numFmt numFmtId="167" formatCode="[$-409]mmm\-yy;@"/>
    <numFmt numFmtId="168" formatCode="_(* #,##0_);_(* \(#,##0\);_(* &quot;-&quot;??_);_(@_)"/>
    <numFmt numFmtId="169" formatCode="_([$$-409]* #,##0.00_);_([$$-409]* \(#,##0.00\);_([$$-409]* &quot;-&quot;??_);_(@_)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164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21" fillId="33" borderId="0" xfId="0" applyFont="1" applyFill="1"/>
    <xf numFmtId="167" fontId="21" fillId="33" borderId="0" xfId="0" applyNumberFormat="1" applyFont="1" applyFill="1"/>
    <xf numFmtId="0" fontId="22" fillId="0" borderId="0" xfId="0" applyFont="1"/>
    <xf numFmtId="167" fontId="22" fillId="0" borderId="0" xfId="0" applyNumberFormat="1" applyFont="1"/>
    <xf numFmtId="3" fontId="22" fillId="0" borderId="0" xfId="0" applyNumberFormat="1" applyFont="1"/>
    <xf numFmtId="0" fontId="3" fillId="0" borderId="0" xfId="0" applyFont="1"/>
    <xf numFmtId="166" fontId="3" fillId="0" borderId="0" xfId="42" applyNumberFormat="1" applyFont="1"/>
    <xf numFmtId="166" fontId="21" fillId="33" borderId="0" xfId="42" applyNumberFormat="1" applyFont="1" applyFill="1" applyAlignment="1">
      <alignment horizontal="right"/>
    </xf>
    <xf numFmtId="166" fontId="22" fillId="0" borderId="0" xfId="42" applyNumberFormat="1" applyFont="1"/>
    <xf numFmtId="166" fontId="3" fillId="0" borderId="0" xfId="0" applyNumberFormat="1" applyFont="1"/>
    <xf numFmtId="0" fontId="2" fillId="0" borderId="0" xfId="0" applyFont="1"/>
    <xf numFmtId="0" fontId="21" fillId="36" borderId="0" xfId="0" applyFont="1" applyFill="1"/>
    <xf numFmtId="168" fontId="2" fillId="0" borderId="0" xfId="47" applyNumberFormat="1" applyFont="1"/>
    <xf numFmtId="0" fontId="21" fillId="36" borderId="0" xfId="0" applyFont="1" applyFill="1" applyAlignment="1">
      <alignment horizontal="right"/>
    </xf>
    <xf numFmtId="168" fontId="2" fillId="37" borderId="0" xfId="47" applyNumberFormat="1" applyFont="1" applyFill="1"/>
    <xf numFmtId="0" fontId="25" fillId="0" borderId="0" xfId="0" applyFont="1"/>
    <xf numFmtId="0" fontId="21" fillId="38" borderId="0" xfId="0" applyFont="1" applyFill="1" applyAlignment="1">
      <alignment horizontal="left"/>
    </xf>
    <xf numFmtId="0" fontId="21" fillId="38" borderId="0" xfId="0" applyFont="1" applyFill="1" applyAlignment="1">
      <alignment horizontal="right"/>
    </xf>
    <xf numFmtId="168" fontId="2" fillId="34" borderId="0" xfId="47" applyNumberFormat="1" applyFont="1" applyFill="1"/>
    <xf numFmtId="168" fontId="2" fillId="35" borderId="0" xfId="47" applyNumberFormat="1" applyFont="1" applyFill="1"/>
    <xf numFmtId="9" fontId="2" fillId="35" borderId="0" xfId="48" applyFont="1" applyFill="1"/>
    <xf numFmtId="169" fontId="3" fillId="34" borderId="0" xfId="42" applyNumberFormat="1" applyFont="1" applyFill="1"/>
    <xf numFmtId="164" fontId="21" fillId="39" borderId="0" xfId="0" applyNumberFormat="1" applyFont="1" applyFill="1" applyAlignment="1">
      <alignment horizontal="right"/>
    </xf>
    <xf numFmtId="166" fontId="3" fillId="35" borderId="0" xfId="0" applyNumberFormat="1" applyFont="1" applyFill="1"/>
    <xf numFmtId="164" fontId="21" fillId="39" borderId="0" xfId="0" applyNumberFormat="1" applyFont="1" applyFill="1" applyAlignment="1">
      <alignment horizontal="left"/>
    </xf>
    <xf numFmtId="166" fontId="21" fillId="39" borderId="0" xfId="0" applyNumberFormat="1" applyFont="1" applyFill="1"/>
    <xf numFmtId="166" fontId="21" fillId="39" borderId="0" xfId="0" applyNumberFormat="1" applyFont="1" applyFill="1" applyAlignment="1">
      <alignment horizontal="right"/>
    </xf>
    <xf numFmtId="0" fontId="1" fillId="0" borderId="0" xfId="0" applyFont="1"/>
    <xf numFmtId="0" fontId="1" fillId="40" borderId="0" xfId="0" applyFont="1" applyFill="1"/>
    <xf numFmtId="0" fontId="21" fillId="40" borderId="0" xfId="0" applyFont="1" applyFill="1" applyAlignment="1">
      <alignment horizontal="right"/>
    </xf>
    <xf numFmtId="0" fontId="21" fillId="40" borderId="0" xfId="0" applyFont="1" applyFill="1"/>
    <xf numFmtId="168" fontId="26" fillId="0" borderId="0" xfId="47" applyNumberFormat="1" applyFont="1" applyFill="1"/>
    <xf numFmtId="0" fontId="26" fillId="40" borderId="0" xfId="0" applyFont="1" applyFill="1"/>
    <xf numFmtId="169" fontId="26" fillId="0" borderId="0" xfId="47" applyNumberFormat="1" applyFont="1" applyFill="1"/>
    <xf numFmtId="0" fontId="21" fillId="33" borderId="0" xfId="0" applyFont="1" applyFill="1" applyAlignment="1">
      <alignment horizontal="left"/>
    </xf>
    <xf numFmtId="2" fontId="21" fillId="33" borderId="0" xfId="0" applyNumberFormat="1" applyFont="1" applyFill="1" applyAlignment="1">
      <alignment horizontal="left"/>
    </xf>
    <xf numFmtId="0" fontId="21" fillId="39" borderId="0" xfId="0" applyFont="1" applyFill="1" applyAlignment="1">
      <alignment horizontal="left"/>
    </xf>
    <xf numFmtId="2" fontId="21" fillId="39" borderId="0" xfId="0" applyNumberFormat="1" applyFont="1" applyFill="1" applyAlignment="1">
      <alignment horizontal="left"/>
    </xf>
    <xf numFmtId="0" fontId="28" fillId="40" borderId="0" xfId="0" applyFont="1" applyFill="1"/>
    <xf numFmtId="0" fontId="27" fillId="40" borderId="0" xfId="0" applyFont="1" applyFill="1"/>
    <xf numFmtId="169" fontId="27" fillId="35" borderId="0" xfId="47" applyNumberFormat="1" applyFont="1" applyFill="1"/>
    <xf numFmtId="168" fontId="27" fillId="35" borderId="0" xfId="47" applyNumberFormat="1" applyFont="1" applyFill="1"/>
    <xf numFmtId="0" fontId="0" fillId="35" borderId="0" xfId="0" applyFill="1"/>
    <xf numFmtId="0" fontId="2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tabSelected="1" zoomScale="59" zoomScaleNormal="59" workbookViewId="0">
      <selection activeCell="F7" sqref="F7"/>
    </sheetView>
  </sheetViews>
  <sheetFormatPr defaultColWidth="10.77734375" defaultRowHeight="15.6" x14ac:dyDescent="0.3"/>
  <cols>
    <col min="1" max="1" width="4.33203125" style="28" customWidth="1"/>
    <col min="2" max="2" width="5.6640625" style="28" customWidth="1"/>
    <col min="3" max="3" width="15" style="28" customWidth="1"/>
    <col min="4" max="4" width="10.33203125" style="28" customWidth="1"/>
    <col min="5" max="5" width="10.109375" style="28" customWidth="1"/>
    <col min="6" max="6" width="14.109375" style="28" customWidth="1"/>
    <col min="7" max="7" width="5.77734375" style="28" customWidth="1"/>
    <col min="8" max="8" width="4.6640625" style="28" customWidth="1"/>
    <col min="9" max="9" width="5.6640625" style="28" customWidth="1"/>
    <col min="10" max="10" width="15" style="28" customWidth="1"/>
    <col min="11" max="11" width="10.33203125" style="28" customWidth="1"/>
    <col min="12" max="12" width="10.109375" style="28" customWidth="1"/>
    <col min="13" max="13" width="14.109375" style="28" customWidth="1"/>
    <col min="14" max="14" width="5.77734375" style="28" customWidth="1"/>
    <col min="15" max="16384" width="10.77734375" style="28"/>
  </cols>
  <sheetData>
    <row r="1" spans="2:14" x14ac:dyDescent="0.3">
      <c r="B1" s="29"/>
      <c r="C1" s="29"/>
      <c r="D1" s="29"/>
      <c r="E1" s="29"/>
      <c r="F1" s="29"/>
      <c r="G1" s="29"/>
      <c r="I1" s="29"/>
      <c r="J1" s="29"/>
      <c r="K1" s="29"/>
      <c r="L1" s="29"/>
      <c r="M1" s="29"/>
      <c r="N1" s="29"/>
    </row>
    <row r="2" spans="2:14" x14ac:dyDescent="0.3">
      <c r="B2" s="31"/>
      <c r="C2" s="39" t="s">
        <v>411</v>
      </c>
      <c r="D2" s="29"/>
      <c r="E2" s="29"/>
      <c r="F2" s="29"/>
      <c r="G2" s="29"/>
      <c r="I2" s="31"/>
      <c r="J2" s="39" t="s">
        <v>409</v>
      </c>
      <c r="K2" s="29"/>
      <c r="L2" s="29"/>
      <c r="M2" s="29"/>
      <c r="N2" s="29"/>
    </row>
    <row r="3" spans="2:14" x14ac:dyDescent="0.3">
      <c r="B3" s="30"/>
      <c r="C3" t="s">
        <v>237</v>
      </c>
      <c r="D3" s="29"/>
      <c r="E3" s="32">
        <f>COUNTIF(marketing_perf!B2:B381,dashboard!C3)</f>
        <v>89</v>
      </c>
      <c r="F3" s="33" t="s">
        <v>410</v>
      </c>
      <c r="G3" s="29"/>
      <c r="I3" s="30"/>
      <c r="J3" s="43" t="s">
        <v>313</v>
      </c>
      <c r="K3" s="29"/>
      <c r="L3" s="42">
        <f>COUNTIF(marketing_perf!C2:C381,dashboard!J3)</f>
        <v>186</v>
      </c>
      <c r="M3" s="40" t="s">
        <v>410</v>
      </c>
      <c r="N3" s="29"/>
    </row>
    <row r="4" spans="2:14" x14ac:dyDescent="0.3">
      <c r="B4" s="29"/>
      <c r="C4" s="29"/>
      <c r="D4" s="29"/>
      <c r="E4" s="29"/>
      <c r="F4" s="29"/>
      <c r="G4" s="29"/>
      <c r="I4" s="29"/>
      <c r="J4" s="29"/>
      <c r="K4" s="29"/>
      <c r="L4" s="29"/>
      <c r="M4" s="29"/>
      <c r="N4" s="29"/>
    </row>
    <row r="5" spans="2:14" x14ac:dyDescent="0.3">
      <c r="B5" s="29"/>
      <c r="C5" s="35" t="s">
        <v>381</v>
      </c>
      <c r="D5" s="36" t="s">
        <v>399</v>
      </c>
      <c r="E5" s="36" t="s">
        <v>408</v>
      </c>
      <c r="F5" s="36" t="s">
        <v>389</v>
      </c>
      <c r="G5" s="29"/>
      <c r="I5" s="29"/>
      <c r="J5" s="37" t="s">
        <v>381</v>
      </c>
      <c r="K5" s="38" t="s">
        <v>399</v>
      </c>
      <c r="L5" s="38" t="s">
        <v>408</v>
      </c>
      <c r="M5" s="38" t="s">
        <v>389</v>
      </c>
      <c r="N5" s="29"/>
    </row>
    <row r="6" spans="2:14" x14ac:dyDescent="0.3">
      <c r="B6" s="29"/>
      <c r="C6" s="34">
        <f>SUMIF(campaign,C3,ad_cost)</f>
        <v>10614.049999999994</v>
      </c>
      <c r="D6" s="32">
        <f>SUMIF(campaign,C3,signups)</f>
        <v>8705</v>
      </c>
      <c r="E6" s="32">
        <f>SUMIF(campaign,C3,conv)</f>
        <v>224</v>
      </c>
      <c r="F6" s="34">
        <f>SUMIF(campaign,C3,sales)</f>
        <v>17506.200000000004</v>
      </c>
      <c r="G6" s="29"/>
      <c r="I6" s="29"/>
      <c r="J6" s="41">
        <f>SUMIF(category,dashboard!J3,ad_cost)</f>
        <v>9601.3100000000013</v>
      </c>
      <c r="K6" s="42">
        <f>SUMIF(category,J3,signups)</f>
        <v>11481</v>
      </c>
      <c r="L6" s="42">
        <f>SUMIF(category,J3,conv)</f>
        <v>266</v>
      </c>
      <c r="M6" s="41">
        <f>SUMIF(category,J3,sales)</f>
        <v>21289.690000000006</v>
      </c>
      <c r="N6" s="29"/>
    </row>
    <row r="7" spans="2:14" x14ac:dyDescent="0.3">
      <c r="B7" s="29"/>
      <c r="C7" s="29"/>
      <c r="D7" s="29"/>
      <c r="E7" s="29"/>
      <c r="F7" s="29"/>
      <c r="G7" s="29"/>
      <c r="I7" s="29"/>
      <c r="J7" s="29"/>
      <c r="K7" s="29"/>
      <c r="L7" s="29"/>
      <c r="M7" s="29"/>
      <c r="N7" s="29"/>
    </row>
    <row r="8" spans="2:14" x14ac:dyDescent="0.3">
      <c r="B8" s="29"/>
      <c r="C8" s="29"/>
      <c r="D8" s="29"/>
      <c r="E8" s="29"/>
      <c r="F8" s="29"/>
      <c r="G8" s="29"/>
      <c r="I8" s="29"/>
      <c r="J8" s="29"/>
      <c r="K8" s="29"/>
      <c r="L8" s="29"/>
      <c r="M8" s="29"/>
      <c r="N8" s="29"/>
    </row>
    <row r="9" spans="2:14" x14ac:dyDescent="0.3">
      <c r="B9" s="29"/>
      <c r="C9" s="29"/>
      <c r="D9" s="29"/>
      <c r="E9" s="29"/>
      <c r="F9" s="29"/>
      <c r="G9" s="29"/>
      <c r="I9" s="29"/>
      <c r="J9" s="29"/>
      <c r="K9" s="29"/>
      <c r="L9" s="29"/>
      <c r="M9" s="29"/>
      <c r="N9" s="29"/>
    </row>
    <row r="10" spans="2:14" x14ac:dyDescent="0.3">
      <c r="B10" s="29"/>
      <c r="C10" s="29"/>
      <c r="D10" s="29"/>
      <c r="E10" s="29"/>
      <c r="F10" s="29"/>
      <c r="G10" s="29"/>
      <c r="I10" s="29"/>
      <c r="J10" s="29"/>
      <c r="K10" s="29"/>
      <c r="L10" s="29"/>
      <c r="M10" s="29"/>
      <c r="N10" s="29"/>
    </row>
    <row r="11" spans="2:14" x14ac:dyDescent="0.3">
      <c r="B11" s="29"/>
      <c r="C11" s="29"/>
      <c r="D11" s="29"/>
      <c r="E11" s="29"/>
      <c r="F11" s="29"/>
      <c r="G11" s="29"/>
      <c r="I11" s="29"/>
      <c r="J11" s="29"/>
      <c r="K11" s="29"/>
      <c r="L11" s="29"/>
      <c r="M11" s="29"/>
      <c r="N11" s="29"/>
    </row>
    <row r="12" spans="2:14" x14ac:dyDescent="0.3">
      <c r="B12" s="29"/>
      <c r="C12" s="29"/>
      <c r="D12" s="29"/>
      <c r="E12" s="29"/>
      <c r="F12" s="29"/>
      <c r="G12" s="29"/>
      <c r="I12" s="29"/>
      <c r="J12" s="29"/>
      <c r="K12" s="29"/>
      <c r="L12" s="29"/>
      <c r="M12" s="29"/>
      <c r="N12" s="29"/>
    </row>
    <row r="13" spans="2:14" x14ac:dyDescent="0.3">
      <c r="B13" s="29"/>
      <c r="C13" s="29"/>
      <c r="D13" s="29"/>
      <c r="E13" s="29"/>
      <c r="F13" s="29"/>
      <c r="G13" s="29"/>
      <c r="I13" s="29"/>
      <c r="J13" s="29"/>
      <c r="K13" s="29"/>
      <c r="L13" s="29"/>
      <c r="M13" s="29"/>
      <c r="N13" s="29"/>
    </row>
    <row r="14" spans="2:14" x14ac:dyDescent="0.3">
      <c r="B14" s="29"/>
      <c r="C14" s="29"/>
      <c r="D14" s="29"/>
      <c r="E14" s="29"/>
      <c r="F14" s="29"/>
      <c r="G14" s="29"/>
      <c r="I14" s="29"/>
      <c r="J14" s="29"/>
      <c r="K14" s="29"/>
      <c r="L14" s="29"/>
      <c r="M14" s="29"/>
      <c r="N14" s="29"/>
    </row>
    <row r="15" spans="2:14" x14ac:dyDescent="0.3">
      <c r="B15" s="29"/>
      <c r="C15" s="29"/>
      <c r="D15" s="29"/>
      <c r="E15" s="29"/>
      <c r="F15" s="29"/>
      <c r="G15" s="29"/>
      <c r="I15" s="29"/>
      <c r="J15" s="29"/>
      <c r="K15" s="29"/>
      <c r="L15" s="29"/>
      <c r="M15" s="29"/>
      <c r="N15" s="29"/>
    </row>
    <row r="16" spans="2:14" x14ac:dyDescent="0.3">
      <c r="B16" s="29"/>
      <c r="C16" s="29"/>
      <c r="D16" s="29"/>
      <c r="E16" s="29"/>
      <c r="F16" s="29"/>
      <c r="G16" s="29"/>
      <c r="I16" s="29"/>
      <c r="J16" s="29"/>
      <c r="K16" s="29"/>
      <c r="L16" s="29"/>
      <c r="M16" s="29"/>
      <c r="N16" s="29"/>
    </row>
    <row r="17" spans="2:14" x14ac:dyDescent="0.3">
      <c r="B17" s="29"/>
      <c r="C17" s="29"/>
      <c r="D17" s="29"/>
      <c r="E17" s="29"/>
      <c r="F17" s="29"/>
      <c r="G17" s="29"/>
      <c r="I17" s="29"/>
      <c r="J17" s="29"/>
      <c r="K17" s="29"/>
      <c r="L17" s="29"/>
      <c r="M17" s="29"/>
      <c r="N17" s="29"/>
    </row>
    <row r="18" spans="2:14" x14ac:dyDescent="0.3">
      <c r="B18" s="29"/>
      <c r="C18" s="29"/>
      <c r="D18" s="29"/>
      <c r="E18" s="29"/>
      <c r="F18" s="29"/>
      <c r="G18" s="29"/>
      <c r="I18" s="29"/>
      <c r="J18" s="29"/>
      <c r="K18" s="29"/>
      <c r="L18" s="29"/>
      <c r="M18" s="29"/>
      <c r="N18" s="29"/>
    </row>
    <row r="19" spans="2:14" x14ac:dyDescent="0.3">
      <c r="B19" s="29"/>
      <c r="C19" s="29"/>
      <c r="D19" s="29"/>
      <c r="E19" s="29"/>
      <c r="F19" s="29"/>
      <c r="G19" s="29"/>
      <c r="I19" s="29"/>
      <c r="J19" s="29"/>
      <c r="K19" s="29"/>
      <c r="L19" s="29"/>
      <c r="M19" s="29"/>
      <c r="N19" s="29"/>
    </row>
    <row r="20" spans="2:14" x14ac:dyDescent="0.3">
      <c r="B20" s="29"/>
      <c r="C20" s="29"/>
      <c r="D20" s="29"/>
      <c r="E20" s="29"/>
      <c r="F20" s="29"/>
      <c r="G20" s="29"/>
      <c r="I20" s="29"/>
      <c r="J20" s="29"/>
      <c r="K20" s="29"/>
      <c r="L20" s="29"/>
      <c r="M20" s="29"/>
      <c r="N20" s="29"/>
    </row>
    <row r="21" spans="2:14" x14ac:dyDescent="0.3">
      <c r="B21" s="29"/>
      <c r="C21" s="29"/>
      <c r="D21" s="29"/>
      <c r="E21" s="29"/>
      <c r="F21" s="29"/>
      <c r="G21" s="29"/>
      <c r="I21" s="29"/>
      <c r="J21" s="29"/>
      <c r="K21" s="29"/>
      <c r="L21" s="29"/>
      <c r="M21" s="29"/>
      <c r="N21" s="29"/>
    </row>
    <row r="22" spans="2:14" x14ac:dyDescent="0.3">
      <c r="B22" s="29"/>
      <c r="C22" s="29"/>
      <c r="D22" s="29"/>
      <c r="E22" s="29"/>
      <c r="F22" s="29"/>
      <c r="G22" s="29"/>
      <c r="I22" s="29"/>
      <c r="J22" s="29"/>
      <c r="K22" s="29"/>
      <c r="L22" s="29"/>
      <c r="M22" s="29"/>
      <c r="N22" s="29"/>
    </row>
    <row r="23" spans="2:14" x14ac:dyDescent="0.3">
      <c r="B23" s="29"/>
      <c r="C23" s="29"/>
      <c r="D23" s="29"/>
      <c r="E23" s="29"/>
      <c r="F23" s="29"/>
      <c r="G23" s="29"/>
      <c r="I23" s="29"/>
      <c r="J23" s="29"/>
      <c r="K23" s="29"/>
      <c r="L23" s="29"/>
      <c r="M23" s="29"/>
      <c r="N23" s="29"/>
    </row>
    <row r="24" spans="2:14" x14ac:dyDescent="0.3">
      <c r="B24" s="29"/>
      <c r="C24" s="29"/>
      <c r="D24" s="29"/>
      <c r="E24" s="29"/>
      <c r="F24" s="29"/>
      <c r="G24" s="29"/>
      <c r="I24" s="29"/>
      <c r="J24" s="29"/>
      <c r="K24" s="29"/>
      <c r="L24" s="29"/>
      <c r="M24" s="29"/>
      <c r="N24" s="29"/>
    </row>
    <row r="25" spans="2:14" x14ac:dyDescent="0.3">
      <c r="B25" s="29"/>
      <c r="C25" s="29"/>
      <c r="D25" s="29"/>
      <c r="E25" s="29"/>
      <c r="F25" s="29"/>
      <c r="G25" s="29"/>
      <c r="I25" s="29"/>
      <c r="J25" s="29"/>
      <c r="K25" s="29"/>
      <c r="L25" s="29"/>
      <c r="M25" s="29"/>
      <c r="N25" s="29"/>
    </row>
    <row r="26" spans="2:14" x14ac:dyDescent="0.3">
      <c r="B26" s="29"/>
      <c r="C26" s="29"/>
      <c r="D26" s="29"/>
      <c r="E26" s="29"/>
      <c r="F26" s="29"/>
      <c r="G26" s="29"/>
      <c r="I26" s="29"/>
      <c r="J26" s="29"/>
      <c r="K26" s="29"/>
      <c r="L26" s="29"/>
      <c r="M26" s="29"/>
      <c r="N26" s="29"/>
    </row>
    <row r="27" spans="2:14" x14ac:dyDescent="0.3">
      <c r="B27" s="29"/>
      <c r="C27" s="29"/>
      <c r="D27" s="29"/>
      <c r="E27" s="29"/>
      <c r="F27" s="29"/>
      <c r="G27" s="29"/>
      <c r="I27" s="29"/>
      <c r="J27" s="29"/>
      <c r="K27" s="29"/>
      <c r="L27" s="29"/>
      <c r="M27" s="29"/>
      <c r="N27" s="2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8FE8EC-6B6B-4BAE-A4AC-9C1B0FED27C9}">
          <x14:formula1>
            <xm:f>signups!$C$3:$I$3</xm:f>
          </x14:formula1>
          <xm:sqref>J3</xm:sqref>
        </x14:dataValidation>
        <x14:dataValidation type="list" allowBlank="1" showInputMessage="1" showErrorMessage="1" xr:uid="{25847514-837F-472A-8772-1FEB0A37C4A5}">
          <x14:formula1>
            <xm:f>signups!$B$4:$B$9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1"/>
  <sheetViews>
    <sheetView zoomScale="62" zoomScaleNormal="62" workbookViewId="0">
      <pane ySplit="1" topLeftCell="A342" activePane="bottomLeft" state="frozen"/>
      <selection pane="bottomLeft" activeCell="B2" sqref="B2:B381"/>
    </sheetView>
  </sheetViews>
  <sheetFormatPr defaultColWidth="10.77734375" defaultRowHeight="15.6" x14ac:dyDescent="0.3"/>
  <cols>
    <col min="1" max="1" width="27.109375" style="6" customWidth="1"/>
    <col min="2" max="3" width="10.77734375" style="6"/>
    <col min="4" max="4" width="10" style="6" customWidth="1"/>
    <col min="5" max="5" width="8.33203125" style="6" customWidth="1"/>
    <col min="6" max="6" width="6.6640625" style="6" customWidth="1"/>
    <col min="7" max="7" width="10.109375" style="10" customWidth="1"/>
    <col min="8" max="8" width="11.109375" style="7" customWidth="1"/>
    <col min="9" max="9" width="13.77734375" style="6" customWidth="1"/>
    <col min="10" max="10" width="14.6640625" style="6" customWidth="1"/>
    <col min="11" max="11" width="13.6640625" style="10" customWidth="1"/>
    <col min="12" max="12" width="13.109375" style="10" customWidth="1"/>
    <col min="13" max="16384" width="10.77734375" style="6"/>
  </cols>
  <sheetData>
    <row r="1" spans="1:12" x14ac:dyDescent="0.3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7" t="s">
        <v>405</v>
      </c>
      <c r="L1" s="26" t="s">
        <v>407</v>
      </c>
    </row>
    <row r="2" spans="1:12" x14ac:dyDescent="0.3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4" t="str">
        <f>IF(ISNUMBER(K2),IF(K2&lt;=75,"Low",IF(K2&lt;=200,"Medium","High")),"Untested")</f>
        <v>Low</v>
      </c>
    </row>
    <row r="3" spans="1:12" x14ac:dyDescent="0.3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4" t="str">
        <f t="shared" ref="L3:L66" si="3">IF(ISNUMBER(K3),IF(K3&lt;=75,"Low",IF(K3&lt;=200,"Medium","High")),"Untested")</f>
        <v>Low</v>
      </c>
    </row>
    <row r="4" spans="1:12" x14ac:dyDescent="0.3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4" t="str">
        <f t="shared" si="3"/>
        <v>Medium</v>
      </c>
    </row>
    <row r="5" spans="1:12" x14ac:dyDescent="0.3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4" t="str">
        <f t="shared" si="3"/>
        <v>Low</v>
      </c>
    </row>
    <row r="6" spans="1:12" x14ac:dyDescent="0.3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4" t="str">
        <f t="shared" si="3"/>
        <v>Medium</v>
      </c>
    </row>
    <row r="7" spans="1:12" x14ac:dyDescent="0.3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4" t="str">
        <f t="shared" si="3"/>
        <v>Medium</v>
      </c>
    </row>
    <row r="8" spans="1:12" x14ac:dyDescent="0.3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4" t="str">
        <f t="shared" si="3"/>
        <v>High</v>
      </c>
    </row>
    <row r="9" spans="1:12" x14ac:dyDescent="0.3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4" t="str">
        <f t="shared" si="3"/>
        <v>Medium</v>
      </c>
    </row>
    <row r="10" spans="1:12" x14ac:dyDescent="0.3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4" t="str">
        <f t="shared" si="3"/>
        <v>Low</v>
      </c>
    </row>
    <row r="11" spans="1:12" x14ac:dyDescent="0.3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4" t="str">
        <f t="shared" si="3"/>
        <v>Medium</v>
      </c>
    </row>
    <row r="12" spans="1:12" x14ac:dyDescent="0.3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4" t="str">
        <f t="shared" si="3"/>
        <v>High</v>
      </c>
    </row>
    <row r="13" spans="1:12" x14ac:dyDescent="0.3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4" t="str">
        <f t="shared" si="3"/>
        <v>Medium</v>
      </c>
    </row>
    <row r="14" spans="1:12" x14ac:dyDescent="0.3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4" t="str">
        <f t="shared" si="3"/>
        <v>Low</v>
      </c>
    </row>
    <row r="15" spans="1:12" x14ac:dyDescent="0.3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4" t="str">
        <f t="shared" si="3"/>
        <v>High</v>
      </c>
    </row>
    <row r="16" spans="1:12" x14ac:dyDescent="0.3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4" t="str">
        <f t="shared" si="3"/>
        <v>Medium</v>
      </c>
    </row>
    <row r="17" spans="1:12" x14ac:dyDescent="0.3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4" t="str">
        <f t="shared" si="3"/>
        <v>Medium</v>
      </c>
    </row>
    <row r="18" spans="1:12" x14ac:dyDescent="0.3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4" t="str">
        <f t="shared" si="3"/>
        <v>High</v>
      </c>
    </row>
    <row r="19" spans="1:12" x14ac:dyDescent="0.3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4" t="str">
        <f t="shared" si="3"/>
        <v>Medium</v>
      </c>
    </row>
    <row r="20" spans="1:12" x14ac:dyDescent="0.3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4" t="str">
        <f t="shared" si="3"/>
        <v>Medium</v>
      </c>
    </row>
    <row r="21" spans="1:12" x14ac:dyDescent="0.3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4" t="str">
        <f t="shared" si="3"/>
        <v>Low</v>
      </c>
    </row>
    <row r="22" spans="1:12" x14ac:dyDescent="0.3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4" t="str">
        <f t="shared" si="3"/>
        <v>High</v>
      </c>
    </row>
    <row r="23" spans="1:12" x14ac:dyDescent="0.3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4" t="str">
        <f t="shared" si="3"/>
        <v>Medium</v>
      </c>
    </row>
    <row r="24" spans="1:12" x14ac:dyDescent="0.3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4" t="str">
        <f t="shared" si="3"/>
        <v>High</v>
      </c>
    </row>
    <row r="25" spans="1:12" x14ac:dyDescent="0.3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4" t="str">
        <f t="shared" si="3"/>
        <v>Medium</v>
      </c>
    </row>
    <row r="26" spans="1:12" x14ac:dyDescent="0.3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4" t="str">
        <f t="shared" si="3"/>
        <v>Medium</v>
      </c>
    </row>
    <row r="27" spans="1:12" x14ac:dyDescent="0.3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4" t="str">
        <f t="shared" si="3"/>
        <v>High</v>
      </c>
    </row>
    <row r="28" spans="1:12" x14ac:dyDescent="0.3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4" t="str">
        <f t="shared" si="3"/>
        <v>High</v>
      </c>
    </row>
    <row r="29" spans="1:12" x14ac:dyDescent="0.3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4" t="str">
        <f t="shared" si="3"/>
        <v>Medium</v>
      </c>
    </row>
    <row r="30" spans="1:12" x14ac:dyDescent="0.3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4" t="str">
        <f t="shared" si="3"/>
        <v>Medium</v>
      </c>
    </row>
    <row r="31" spans="1:12" x14ac:dyDescent="0.3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4" t="str">
        <f t="shared" si="3"/>
        <v>Low</v>
      </c>
    </row>
    <row r="32" spans="1:12" x14ac:dyDescent="0.3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4" t="str">
        <f t="shared" si="3"/>
        <v>Medium</v>
      </c>
    </row>
    <row r="33" spans="1:12" x14ac:dyDescent="0.3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4" t="str">
        <f t="shared" si="3"/>
        <v>Medium</v>
      </c>
    </row>
    <row r="34" spans="1:12" x14ac:dyDescent="0.3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4" t="str">
        <f t="shared" si="3"/>
        <v>Medium</v>
      </c>
    </row>
    <row r="35" spans="1:12" x14ac:dyDescent="0.3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4" t="str">
        <f t="shared" si="3"/>
        <v>Low</v>
      </c>
    </row>
    <row r="36" spans="1:12" x14ac:dyDescent="0.3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4" t="str">
        <f t="shared" si="3"/>
        <v>Medium</v>
      </c>
    </row>
    <row r="37" spans="1:12" x14ac:dyDescent="0.3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4" t="str">
        <f t="shared" si="3"/>
        <v>Medium</v>
      </c>
    </row>
    <row r="38" spans="1:12" x14ac:dyDescent="0.3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4" t="str">
        <f t="shared" si="3"/>
        <v>Low</v>
      </c>
    </row>
    <row r="39" spans="1:12" x14ac:dyDescent="0.3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4" t="str">
        <f t="shared" si="3"/>
        <v>Low</v>
      </c>
    </row>
    <row r="40" spans="1:12" x14ac:dyDescent="0.3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4" t="str">
        <f t="shared" si="3"/>
        <v>High</v>
      </c>
    </row>
    <row r="41" spans="1:12" x14ac:dyDescent="0.3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4" t="str">
        <f t="shared" si="3"/>
        <v>Low</v>
      </c>
    </row>
    <row r="42" spans="1:12" x14ac:dyDescent="0.3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4" t="str">
        <f t="shared" si="3"/>
        <v>Medium</v>
      </c>
    </row>
    <row r="43" spans="1:12" x14ac:dyDescent="0.3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4" t="str">
        <f t="shared" si="3"/>
        <v>Low</v>
      </c>
    </row>
    <row r="44" spans="1:12" x14ac:dyDescent="0.3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4" t="str">
        <f t="shared" si="3"/>
        <v>Medium</v>
      </c>
    </row>
    <row r="45" spans="1:12" x14ac:dyDescent="0.3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4" t="str">
        <f t="shared" si="3"/>
        <v>Medium</v>
      </c>
    </row>
    <row r="46" spans="1:12" x14ac:dyDescent="0.3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4" t="str">
        <f t="shared" si="3"/>
        <v>Medium</v>
      </c>
    </row>
    <row r="47" spans="1:12" x14ac:dyDescent="0.3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4" t="str">
        <f t="shared" si="3"/>
        <v>Low</v>
      </c>
    </row>
    <row r="48" spans="1:12" x14ac:dyDescent="0.3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4" t="str">
        <f t="shared" si="3"/>
        <v>Medium</v>
      </c>
    </row>
    <row r="49" spans="1:12" x14ac:dyDescent="0.3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4" t="str">
        <f t="shared" si="3"/>
        <v>Low</v>
      </c>
    </row>
    <row r="50" spans="1:12" x14ac:dyDescent="0.3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4" t="str">
        <f t="shared" si="3"/>
        <v>Low</v>
      </c>
    </row>
    <row r="51" spans="1:12" x14ac:dyDescent="0.3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4" t="str">
        <f t="shared" si="3"/>
        <v>High</v>
      </c>
    </row>
    <row r="52" spans="1:12" x14ac:dyDescent="0.3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4" t="str">
        <f t="shared" si="3"/>
        <v>High</v>
      </c>
    </row>
    <row r="53" spans="1:12" x14ac:dyDescent="0.3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4" t="str">
        <f t="shared" si="3"/>
        <v>Low</v>
      </c>
    </row>
    <row r="54" spans="1:12" x14ac:dyDescent="0.3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4" t="str">
        <f t="shared" si="3"/>
        <v>High</v>
      </c>
    </row>
    <row r="55" spans="1:12" x14ac:dyDescent="0.3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4" t="str">
        <f t="shared" si="3"/>
        <v>High</v>
      </c>
    </row>
    <row r="56" spans="1:12" x14ac:dyDescent="0.3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4" t="str">
        <f t="shared" si="3"/>
        <v>Low</v>
      </c>
    </row>
    <row r="57" spans="1:12" x14ac:dyDescent="0.3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4" t="str">
        <f t="shared" si="3"/>
        <v>High</v>
      </c>
    </row>
    <row r="58" spans="1:12" x14ac:dyDescent="0.3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4" t="str">
        <f t="shared" si="3"/>
        <v>High</v>
      </c>
    </row>
    <row r="59" spans="1:12" x14ac:dyDescent="0.3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4" t="str">
        <f t="shared" si="3"/>
        <v>High</v>
      </c>
    </row>
    <row r="60" spans="1:12" x14ac:dyDescent="0.3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4" t="str">
        <f t="shared" si="3"/>
        <v>Medium</v>
      </c>
    </row>
    <row r="61" spans="1:12" x14ac:dyDescent="0.3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4" t="str">
        <f t="shared" si="3"/>
        <v>Medium</v>
      </c>
    </row>
    <row r="62" spans="1:12" x14ac:dyDescent="0.3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4" t="str">
        <f t="shared" si="3"/>
        <v>Low</v>
      </c>
    </row>
    <row r="63" spans="1:12" x14ac:dyDescent="0.3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4" t="str">
        <f t="shared" si="3"/>
        <v>High</v>
      </c>
    </row>
    <row r="64" spans="1:12" x14ac:dyDescent="0.3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4" t="str">
        <f t="shared" si="3"/>
        <v>Medium</v>
      </c>
    </row>
    <row r="65" spans="1:12" x14ac:dyDescent="0.3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4" t="str">
        <f t="shared" si="3"/>
        <v>Low</v>
      </c>
    </row>
    <row r="66" spans="1:12" x14ac:dyDescent="0.3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4" t="str">
        <f t="shared" si="3"/>
        <v>Low</v>
      </c>
    </row>
    <row r="67" spans="1:12" x14ac:dyDescent="0.3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4" t="str">
        <f t="shared" ref="L67:L130" si="7">IF(ISNUMBER(K67),IF(K67&lt;=75,"Low",IF(K67&lt;=200,"Medium","High")),"Untested")</f>
        <v>Low</v>
      </c>
    </row>
    <row r="68" spans="1:12" x14ac:dyDescent="0.3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4" t="str">
        <f t="shared" si="7"/>
        <v>Low</v>
      </c>
    </row>
    <row r="69" spans="1:12" x14ac:dyDescent="0.3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4" t="str">
        <f t="shared" si="7"/>
        <v>Low</v>
      </c>
    </row>
    <row r="70" spans="1:12" x14ac:dyDescent="0.3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4" t="str">
        <f t="shared" si="7"/>
        <v>Medium</v>
      </c>
    </row>
    <row r="71" spans="1:12" x14ac:dyDescent="0.3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4" t="str">
        <f t="shared" si="7"/>
        <v>High</v>
      </c>
    </row>
    <row r="72" spans="1:12" x14ac:dyDescent="0.3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4" t="str">
        <f t="shared" si="7"/>
        <v>Medium</v>
      </c>
    </row>
    <row r="73" spans="1:12" x14ac:dyDescent="0.3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4" t="str">
        <f t="shared" si="7"/>
        <v>Medium</v>
      </c>
    </row>
    <row r="74" spans="1:12" x14ac:dyDescent="0.3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4" t="str">
        <f t="shared" si="7"/>
        <v>Medium</v>
      </c>
    </row>
    <row r="75" spans="1:12" x14ac:dyDescent="0.3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4" t="str">
        <f t="shared" si="7"/>
        <v>Medium</v>
      </c>
    </row>
    <row r="76" spans="1:12" x14ac:dyDescent="0.3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4" t="str">
        <f t="shared" si="7"/>
        <v>Medium</v>
      </c>
    </row>
    <row r="77" spans="1:12" x14ac:dyDescent="0.3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4" t="str">
        <f t="shared" si="7"/>
        <v>Medium</v>
      </c>
    </row>
    <row r="78" spans="1:12" x14ac:dyDescent="0.3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4" t="str">
        <f t="shared" si="7"/>
        <v>Medium</v>
      </c>
    </row>
    <row r="79" spans="1:12" x14ac:dyDescent="0.3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4" t="str">
        <f t="shared" si="7"/>
        <v>Low</v>
      </c>
    </row>
    <row r="80" spans="1:12" x14ac:dyDescent="0.3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4" t="str">
        <f t="shared" si="7"/>
        <v>Medium</v>
      </c>
    </row>
    <row r="81" spans="1:12" x14ac:dyDescent="0.3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4" t="str">
        <f t="shared" si="7"/>
        <v>Low</v>
      </c>
    </row>
    <row r="82" spans="1:12" x14ac:dyDescent="0.3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4" t="str">
        <f t="shared" si="7"/>
        <v>Medium</v>
      </c>
    </row>
    <row r="83" spans="1:12" x14ac:dyDescent="0.3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4" t="str">
        <f t="shared" si="7"/>
        <v>Low</v>
      </c>
    </row>
    <row r="84" spans="1:12" x14ac:dyDescent="0.3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4" t="str">
        <f t="shared" si="7"/>
        <v>Low</v>
      </c>
    </row>
    <row r="85" spans="1:12" x14ac:dyDescent="0.3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4" t="str">
        <f t="shared" si="7"/>
        <v>Low</v>
      </c>
    </row>
    <row r="86" spans="1:12" x14ac:dyDescent="0.3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4" t="str">
        <f t="shared" si="7"/>
        <v>Low</v>
      </c>
    </row>
    <row r="87" spans="1:12" x14ac:dyDescent="0.3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4" t="str">
        <f t="shared" si="7"/>
        <v>Medium</v>
      </c>
    </row>
    <row r="88" spans="1:12" x14ac:dyDescent="0.3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4" t="str">
        <f t="shared" si="7"/>
        <v>Medium</v>
      </c>
    </row>
    <row r="89" spans="1:12" x14ac:dyDescent="0.3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4" t="str">
        <f t="shared" si="7"/>
        <v>Medium</v>
      </c>
    </row>
    <row r="90" spans="1:12" x14ac:dyDescent="0.3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4" t="str">
        <f t="shared" si="7"/>
        <v>Low</v>
      </c>
    </row>
    <row r="91" spans="1:12" x14ac:dyDescent="0.3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4" t="str">
        <f t="shared" si="7"/>
        <v>Medium</v>
      </c>
    </row>
    <row r="92" spans="1:12" x14ac:dyDescent="0.3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4" t="str">
        <f t="shared" si="7"/>
        <v>Low</v>
      </c>
    </row>
    <row r="93" spans="1:12" x14ac:dyDescent="0.3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4" t="str">
        <f t="shared" si="7"/>
        <v>Low</v>
      </c>
    </row>
    <row r="94" spans="1:12" x14ac:dyDescent="0.3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4" t="str">
        <f t="shared" si="7"/>
        <v>Medium</v>
      </c>
    </row>
    <row r="95" spans="1:12" x14ac:dyDescent="0.3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4" t="str">
        <f t="shared" si="7"/>
        <v>Low</v>
      </c>
    </row>
    <row r="96" spans="1:12" x14ac:dyDescent="0.3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4" t="str">
        <f t="shared" si="7"/>
        <v>Low</v>
      </c>
    </row>
    <row r="97" spans="1:12" x14ac:dyDescent="0.3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4" t="str">
        <f t="shared" si="7"/>
        <v>Low</v>
      </c>
    </row>
    <row r="98" spans="1:12" x14ac:dyDescent="0.3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4" t="str">
        <f t="shared" si="7"/>
        <v>Medium</v>
      </c>
    </row>
    <row r="99" spans="1:12" x14ac:dyDescent="0.3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4" t="str">
        <f t="shared" si="7"/>
        <v>Medium</v>
      </c>
    </row>
    <row r="100" spans="1:12" x14ac:dyDescent="0.3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4" t="str">
        <f t="shared" si="7"/>
        <v>Medium</v>
      </c>
    </row>
    <row r="101" spans="1:12" x14ac:dyDescent="0.3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4" t="str">
        <f t="shared" si="7"/>
        <v>Medium</v>
      </c>
    </row>
    <row r="102" spans="1:12" x14ac:dyDescent="0.3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4" t="str">
        <f t="shared" si="7"/>
        <v>Medium</v>
      </c>
    </row>
    <row r="103" spans="1:12" x14ac:dyDescent="0.3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4" t="str">
        <f t="shared" si="7"/>
        <v>Medium</v>
      </c>
    </row>
    <row r="104" spans="1:12" x14ac:dyDescent="0.3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4" t="str">
        <f t="shared" si="7"/>
        <v>Low</v>
      </c>
    </row>
    <row r="105" spans="1:12" x14ac:dyDescent="0.3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4" t="str">
        <f t="shared" si="7"/>
        <v>Medium</v>
      </c>
    </row>
    <row r="106" spans="1:12" x14ac:dyDescent="0.3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4" t="str">
        <f t="shared" si="7"/>
        <v>Low</v>
      </c>
    </row>
    <row r="107" spans="1:12" x14ac:dyDescent="0.3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4" t="str">
        <f t="shared" si="7"/>
        <v>Medium</v>
      </c>
    </row>
    <row r="108" spans="1:12" x14ac:dyDescent="0.3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4" t="str">
        <f t="shared" si="7"/>
        <v>Medium</v>
      </c>
    </row>
    <row r="109" spans="1:12" x14ac:dyDescent="0.3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4" t="str">
        <f t="shared" si="7"/>
        <v>Low</v>
      </c>
    </row>
    <row r="110" spans="1:12" x14ac:dyDescent="0.3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4" t="str">
        <f t="shared" si="7"/>
        <v>Low</v>
      </c>
    </row>
    <row r="111" spans="1:12" x14ac:dyDescent="0.3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4" t="str">
        <f t="shared" si="7"/>
        <v>Medium</v>
      </c>
    </row>
    <row r="112" spans="1:12" x14ac:dyDescent="0.3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4" t="str">
        <f t="shared" si="7"/>
        <v>Medium</v>
      </c>
    </row>
    <row r="113" spans="1:12" x14ac:dyDescent="0.3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4" t="str">
        <f t="shared" si="7"/>
        <v>Low</v>
      </c>
    </row>
    <row r="114" spans="1:12" x14ac:dyDescent="0.3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4" t="str">
        <f t="shared" si="7"/>
        <v>Medium</v>
      </c>
    </row>
    <row r="115" spans="1:12" x14ac:dyDescent="0.3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4" t="str">
        <f t="shared" si="7"/>
        <v>Medium</v>
      </c>
    </row>
    <row r="116" spans="1:12" x14ac:dyDescent="0.3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4" t="str">
        <f t="shared" si="7"/>
        <v>Low</v>
      </c>
    </row>
    <row r="117" spans="1:12" x14ac:dyDescent="0.3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4" t="str">
        <f t="shared" si="7"/>
        <v>Low</v>
      </c>
    </row>
    <row r="118" spans="1:12" x14ac:dyDescent="0.3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4" t="str">
        <f t="shared" si="7"/>
        <v>Medium</v>
      </c>
    </row>
    <row r="119" spans="1:12" x14ac:dyDescent="0.3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4" t="str">
        <f t="shared" si="7"/>
        <v>Medium</v>
      </c>
    </row>
    <row r="120" spans="1:12" x14ac:dyDescent="0.3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4" t="str">
        <f t="shared" si="7"/>
        <v>Medium</v>
      </c>
    </row>
    <row r="121" spans="1:12" x14ac:dyDescent="0.3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4" t="str">
        <f t="shared" si="7"/>
        <v>Medium</v>
      </c>
    </row>
    <row r="122" spans="1:12" x14ac:dyDescent="0.3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4" t="str">
        <f t="shared" si="7"/>
        <v>Medium</v>
      </c>
    </row>
    <row r="123" spans="1:12" x14ac:dyDescent="0.3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4" t="str">
        <f t="shared" si="7"/>
        <v>Medium</v>
      </c>
    </row>
    <row r="124" spans="1:12" x14ac:dyDescent="0.3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4" t="str">
        <f t="shared" si="7"/>
        <v>Low</v>
      </c>
    </row>
    <row r="125" spans="1:12" x14ac:dyDescent="0.3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4" t="str">
        <f t="shared" si="7"/>
        <v>Low</v>
      </c>
    </row>
    <row r="126" spans="1:12" x14ac:dyDescent="0.3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4" t="str">
        <f t="shared" si="7"/>
        <v>Medium</v>
      </c>
    </row>
    <row r="127" spans="1:12" x14ac:dyDescent="0.3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4" t="str">
        <f t="shared" si="7"/>
        <v>Low</v>
      </c>
    </row>
    <row r="128" spans="1:12" x14ac:dyDescent="0.3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4" t="str">
        <f t="shared" si="7"/>
        <v>Medium</v>
      </c>
    </row>
    <row r="129" spans="1:12" x14ac:dyDescent="0.3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4" t="str">
        <f t="shared" si="7"/>
        <v>Medium</v>
      </c>
    </row>
    <row r="130" spans="1:12" x14ac:dyDescent="0.3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4" t="str">
        <f t="shared" si="7"/>
        <v>Medium</v>
      </c>
    </row>
    <row r="131" spans="1:12" x14ac:dyDescent="0.3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4" t="str">
        <f t="shared" ref="L131:L194" si="11">IF(ISNUMBER(K131),IF(K131&lt;=75,"Low",IF(K131&lt;=200,"Medium","High")),"Untested")</f>
        <v>Medium</v>
      </c>
    </row>
    <row r="132" spans="1:12" x14ac:dyDescent="0.3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4" t="str">
        <f t="shared" si="11"/>
        <v>Medium</v>
      </c>
    </row>
    <row r="133" spans="1:12" x14ac:dyDescent="0.3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4" t="str">
        <f t="shared" si="11"/>
        <v>Medium</v>
      </c>
    </row>
    <row r="134" spans="1:12" x14ac:dyDescent="0.3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4" t="str">
        <f t="shared" si="11"/>
        <v>Medium</v>
      </c>
    </row>
    <row r="135" spans="1:12" x14ac:dyDescent="0.3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4" t="str">
        <f t="shared" si="11"/>
        <v>Medium</v>
      </c>
    </row>
    <row r="136" spans="1:12" x14ac:dyDescent="0.3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4" t="str">
        <f t="shared" si="11"/>
        <v>Medium</v>
      </c>
    </row>
    <row r="137" spans="1:12" x14ac:dyDescent="0.3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4" t="str">
        <f t="shared" si="11"/>
        <v>Medium</v>
      </c>
    </row>
    <row r="138" spans="1:12" x14ac:dyDescent="0.3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4" t="str">
        <f t="shared" si="11"/>
        <v>Medium</v>
      </c>
    </row>
    <row r="139" spans="1:12" x14ac:dyDescent="0.3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4" t="str">
        <f t="shared" si="11"/>
        <v>Medium</v>
      </c>
    </row>
    <row r="140" spans="1:12" x14ac:dyDescent="0.3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4" t="str">
        <f t="shared" si="11"/>
        <v>Medium</v>
      </c>
    </row>
    <row r="141" spans="1:12" x14ac:dyDescent="0.3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4" t="str">
        <f t="shared" si="11"/>
        <v>Low</v>
      </c>
    </row>
    <row r="142" spans="1:12" x14ac:dyDescent="0.3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4" t="str">
        <f t="shared" si="11"/>
        <v>Low</v>
      </c>
    </row>
    <row r="143" spans="1:12" x14ac:dyDescent="0.3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4" t="str">
        <f t="shared" si="11"/>
        <v>Low</v>
      </c>
    </row>
    <row r="144" spans="1:12" x14ac:dyDescent="0.3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4" t="str">
        <f t="shared" si="11"/>
        <v>Low</v>
      </c>
    </row>
    <row r="145" spans="1:12" x14ac:dyDescent="0.3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4" t="str">
        <f t="shared" si="11"/>
        <v>Low</v>
      </c>
    </row>
    <row r="146" spans="1:12" x14ac:dyDescent="0.3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4" t="str">
        <f t="shared" si="11"/>
        <v>Low</v>
      </c>
    </row>
    <row r="147" spans="1:12" x14ac:dyDescent="0.3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4" t="str">
        <f t="shared" si="11"/>
        <v>Low</v>
      </c>
    </row>
    <row r="148" spans="1:12" x14ac:dyDescent="0.3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4" t="str">
        <f t="shared" si="11"/>
        <v>Low</v>
      </c>
    </row>
    <row r="149" spans="1:12" x14ac:dyDescent="0.3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4" t="str">
        <f t="shared" si="11"/>
        <v>Low</v>
      </c>
    </row>
    <row r="150" spans="1:12" x14ac:dyDescent="0.3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4" t="str">
        <f t="shared" si="11"/>
        <v>Low</v>
      </c>
    </row>
    <row r="151" spans="1:12" x14ac:dyDescent="0.3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4" t="str">
        <f t="shared" si="11"/>
        <v>Low</v>
      </c>
    </row>
    <row r="152" spans="1:12" x14ac:dyDescent="0.3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4" t="str">
        <f t="shared" si="11"/>
        <v>Low</v>
      </c>
    </row>
    <row r="153" spans="1:12" x14ac:dyDescent="0.3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4" t="str">
        <f t="shared" si="11"/>
        <v>Low</v>
      </c>
    </row>
    <row r="154" spans="1:12" x14ac:dyDescent="0.3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4" t="str">
        <f t="shared" si="11"/>
        <v>Low</v>
      </c>
    </row>
    <row r="155" spans="1:12" x14ac:dyDescent="0.3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4" t="str">
        <f t="shared" si="11"/>
        <v>Low</v>
      </c>
    </row>
    <row r="156" spans="1:12" x14ac:dyDescent="0.3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4" t="str">
        <f t="shared" si="11"/>
        <v>Low</v>
      </c>
    </row>
    <row r="157" spans="1:12" x14ac:dyDescent="0.3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4" t="str">
        <f t="shared" si="11"/>
        <v>Low</v>
      </c>
    </row>
    <row r="158" spans="1:12" x14ac:dyDescent="0.3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4" t="str">
        <f t="shared" si="11"/>
        <v>Low</v>
      </c>
    </row>
    <row r="159" spans="1:12" x14ac:dyDescent="0.3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4" t="str">
        <f t="shared" si="11"/>
        <v>Low</v>
      </c>
    </row>
    <row r="160" spans="1:12" x14ac:dyDescent="0.3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4" t="str">
        <f t="shared" si="11"/>
        <v>Low</v>
      </c>
    </row>
    <row r="161" spans="1:12" x14ac:dyDescent="0.3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4" t="str">
        <f t="shared" si="11"/>
        <v>Low</v>
      </c>
    </row>
    <row r="162" spans="1:12" x14ac:dyDescent="0.3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4" t="str">
        <f t="shared" si="11"/>
        <v>Low</v>
      </c>
    </row>
    <row r="163" spans="1:12" x14ac:dyDescent="0.3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4" t="str">
        <f t="shared" si="11"/>
        <v>Low</v>
      </c>
    </row>
    <row r="164" spans="1:12" x14ac:dyDescent="0.3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4" t="str">
        <f t="shared" si="11"/>
        <v>Low</v>
      </c>
    </row>
    <row r="165" spans="1:12" x14ac:dyDescent="0.3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4" t="str">
        <f t="shared" si="11"/>
        <v>Low</v>
      </c>
    </row>
    <row r="166" spans="1:12" x14ac:dyDescent="0.3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4" t="str">
        <f t="shared" si="11"/>
        <v>Low</v>
      </c>
    </row>
    <row r="167" spans="1:12" x14ac:dyDescent="0.3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4" t="str">
        <f t="shared" si="11"/>
        <v>Low</v>
      </c>
    </row>
    <row r="168" spans="1:12" x14ac:dyDescent="0.3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4" t="str">
        <f t="shared" si="11"/>
        <v>Low</v>
      </c>
    </row>
    <row r="169" spans="1:12" x14ac:dyDescent="0.3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4" t="str">
        <f t="shared" si="11"/>
        <v>Low</v>
      </c>
    </row>
    <row r="170" spans="1:12" x14ac:dyDescent="0.3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4" t="str">
        <f t="shared" si="11"/>
        <v>Low</v>
      </c>
    </row>
    <row r="171" spans="1:12" x14ac:dyDescent="0.3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4" t="str">
        <f t="shared" si="11"/>
        <v>Low</v>
      </c>
    </row>
    <row r="172" spans="1:12" x14ac:dyDescent="0.3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4" t="str">
        <f t="shared" si="11"/>
        <v>Low</v>
      </c>
    </row>
    <row r="173" spans="1:12" x14ac:dyDescent="0.3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4" t="str">
        <f t="shared" si="11"/>
        <v>Low</v>
      </c>
    </row>
    <row r="174" spans="1:12" x14ac:dyDescent="0.3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4" t="str">
        <f t="shared" si="11"/>
        <v>Low</v>
      </c>
    </row>
    <row r="175" spans="1:12" x14ac:dyDescent="0.3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4" t="str">
        <f t="shared" si="11"/>
        <v>Low</v>
      </c>
    </row>
    <row r="176" spans="1:12" x14ac:dyDescent="0.3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4" t="str">
        <f t="shared" si="11"/>
        <v>Low</v>
      </c>
    </row>
    <row r="177" spans="1:12" x14ac:dyDescent="0.3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4" t="str">
        <f t="shared" si="11"/>
        <v>Low</v>
      </c>
    </row>
    <row r="178" spans="1:12" x14ac:dyDescent="0.3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4" t="str">
        <f t="shared" si="11"/>
        <v>Low</v>
      </c>
    </row>
    <row r="179" spans="1:12" x14ac:dyDescent="0.3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4" t="str">
        <f t="shared" si="11"/>
        <v>Low</v>
      </c>
    </row>
    <row r="180" spans="1:12" x14ac:dyDescent="0.3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4" t="str">
        <f t="shared" si="11"/>
        <v>Low</v>
      </c>
    </row>
    <row r="181" spans="1:12" x14ac:dyDescent="0.3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4" t="str">
        <f t="shared" si="11"/>
        <v>Low</v>
      </c>
    </row>
    <row r="182" spans="1:12" x14ac:dyDescent="0.3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4" t="str">
        <f t="shared" si="11"/>
        <v>Low</v>
      </c>
    </row>
    <row r="183" spans="1:12" x14ac:dyDescent="0.3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4" t="str">
        <f t="shared" si="11"/>
        <v>Low</v>
      </c>
    </row>
    <row r="184" spans="1:12" x14ac:dyDescent="0.3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4" t="str">
        <f t="shared" si="11"/>
        <v>Low</v>
      </c>
    </row>
    <row r="185" spans="1:12" x14ac:dyDescent="0.3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4" t="str">
        <f t="shared" si="11"/>
        <v>Low</v>
      </c>
    </row>
    <row r="186" spans="1:12" x14ac:dyDescent="0.3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4" t="str">
        <f t="shared" si="11"/>
        <v>Low</v>
      </c>
    </row>
    <row r="187" spans="1:12" x14ac:dyDescent="0.3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4" t="str">
        <f t="shared" si="11"/>
        <v>Low</v>
      </c>
    </row>
    <row r="188" spans="1:12" x14ac:dyDescent="0.3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4" t="str">
        <f t="shared" si="11"/>
        <v>Low</v>
      </c>
    </row>
    <row r="189" spans="1:12" x14ac:dyDescent="0.3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4" t="str">
        <f t="shared" si="11"/>
        <v>Low</v>
      </c>
    </row>
    <row r="190" spans="1:12" x14ac:dyDescent="0.3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4" t="str">
        <f t="shared" si="11"/>
        <v>Low</v>
      </c>
    </row>
    <row r="191" spans="1:12" x14ac:dyDescent="0.3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4" t="str">
        <f t="shared" si="11"/>
        <v>Low</v>
      </c>
    </row>
    <row r="192" spans="1:12" x14ac:dyDescent="0.3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4" t="str">
        <f t="shared" si="11"/>
        <v>Low</v>
      </c>
    </row>
    <row r="193" spans="1:12" x14ac:dyDescent="0.3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4" t="str">
        <f t="shared" si="11"/>
        <v>Low</v>
      </c>
    </row>
    <row r="194" spans="1:12" x14ac:dyDescent="0.3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4" t="str">
        <f t="shared" si="11"/>
        <v>Low</v>
      </c>
    </row>
    <row r="195" spans="1:12" x14ac:dyDescent="0.3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4" t="str">
        <f t="shared" ref="L195:L258" si="15">IF(ISNUMBER(K195),IF(K195&lt;=75,"Low",IF(K195&lt;=200,"Medium","High")),"Untested")</f>
        <v>Low</v>
      </c>
    </row>
    <row r="196" spans="1:12" x14ac:dyDescent="0.3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4" t="str">
        <f t="shared" si="15"/>
        <v>Low</v>
      </c>
    </row>
    <row r="197" spans="1:12" x14ac:dyDescent="0.3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4" t="str">
        <f t="shared" si="15"/>
        <v>Low</v>
      </c>
    </row>
    <row r="198" spans="1:12" x14ac:dyDescent="0.3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4" t="str">
        <f t="shared" si="15"/>
        <v>Low</v>
      </c>
    </row>
    <row r="199" spans="1:12" x14ac:dyDescent="0.3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4" t="str">
        <f t="shared" si="15"/>
        <v>Low</v>
      </c>
    </row>
    <row r="200" spans="1:12" x14ac:dyDescent="0.3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4" t="str">
        <f t="shared" si="15"/>
        <v>Low</v>
      </c>
    </row>
    <row r="201" spans="1:12" x14ac:dyDescent="0.3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4" t="str">
        <f t="shared" si="15"/>
        <v>Low</v>
      </c>
    </row>
    <row r="202" spans="1:12" x14ac:dyDescent="0.3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4" t="str">
        <f t="shared" si="15"/>
        <v>Low</v>
      </c>
    </row>
    <row r="203" spans="1:12" x14ac:dyDescent="0.3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4" t="str">
        <f t="shared" si="15"/>
        <v>Low</v>
      </c>
    </row>
    <row r="204" spans="1:12" x14ac:dyDescent="0.3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4" t="str">
        <f t="shared" si="15"/>
        <v>Low</v>
      </c>
    </row>
    <row r="205" spans="1:12" x14ac:dyDescent="0.3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4" t="str">
        <f t="shared" si="15"/>
        <v>Low</v>
      </c>
    </row>
    <row r="206" spans="1:12" x14ac:dyDescent="0.3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4" t="str">
        <f t="shared" si="15"/>
        <v>Low</v>
      </c>
    </row>
    <row r="207" spans="1:12" x14ac:dyDescent="0.3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4" t="str">
        <f t="shared" si="15"/>
        <v>Low</v>
      </c>
    </row>
    <row r="208" spans="1:12" x14ac:dyDescent="0.3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4" t="str">
        <f t="shared" si="15"/>
        <v>Low</v>
      </c>
    </row>
    <row r="209" spans="1:12" x14ac:dyDescent="0.3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4" t="str">
        <f t="shared" si="15"/>
        <v>Low</v>
      </c>
    </row>
    <row r="210" spans="1:12" x14ac:dyDescent="0.3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4" t="str">
        <f t="shared" si="15"/>
        <v>Low</v>
      </c>
    </row>
    <row r="211" spans="1:12" x14ac:dyDescent="0.3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4" t="str">
        <f t="shared" si="15"/>
        <v>Low</v>
      </c>
    </row>
    <row r="212" spans="1:12" x14ac:dyDescent="0.3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4" t="str">
        <f t="shared" si="15"/>
        <v>Low</v>
      </c>
    </row>
    <row r="213" spans="1:12" x14ac:dyDescent="0.3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4" t="str">
        <f t="shared" si="15"/>
        <v>Low</v>
      </c>
    </row>
    <row r="214" spans="1:12" x14ac:dyDescent="0.3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4" t="str">
        <f t="shared" si="15"/>
        <v>Low</v>
      </c>
    </row>
    <row r="215" spans="1:12" x14ac:dyDescent="0.3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4" t="str">
        <f t="shared" si="15"/>
        <v>Low</v>
      </c>
    </row>
    <row r="216" spans="1:12" x14ac:dyDescent="0.3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4" t="str">
        <f t="shared" si="15"/>
        <v>Low</v>
      </c>
    </row>
    <row r="217" spans="1:12" x14ac:dyDescent="0.3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4" t="str">
        <f t="shared" si="15"/>
        <v>Low</v>
      </c>
    </row>
    <row r="218" spans="1:12" x14ac:dyDescent="0.3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4" t="str">
        <f t="shared" si="15"/>
        <v>Low</v>
      </c>
    </row>
    <row r="219" spans="1:12" x14ac:dyDescent="0.3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4" t="str">
        <f t="shared" si="15"/>
        <v>Low</v>
      </c>
    </row>
    <row r="220" spans="1:12" x14ac:dyDescent="0.3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4" t="str">
        <f t="shared" si="15"/>
        <v>Low</v>
      </c>
    </row>
    <row r="221" spans="1:12" x14ac:dyDescent="0.3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4" t="str">
        <f t="shared" si="15"/>
        <v>Low</v>
      </c>
    </row>
    <row r="222" spans="1:12" x14ac:dyDescent="0.3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4" t="str">
        <f t="shared" si="15"/>
        <v>Low</v>
      </c>
    </row>
    <row r="223" spans="1:12" x14ac:dyDescent="0.3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4" t="str">
        <f t="shared" si="15"/>
        <v>Low</v>
      </c>
    </row>
    <row r="224" spans="1:12" x14ac:dyDescent="0.3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4" t="str">
        <f t="shared" si="15"/>
        <v>Low</v>
      </c>
    </row>
    <row r="225" spans="1:12" x14ac:dyDescent="0.3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4" t="str">
        <f t="shared" si="15"/>
        <v>Low</v>
      </c>
    </row>
    <row r="226" spans="1:12" x14ac:dyDescent="0.3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4" t="str">
        <f t="shared" si="15"/>
        <v>Low</v>
      </c>
    </row>
    <row r="227" spans="1:12" x14ac:dyDescent="0.3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4" t="str">
        <f t="shared" si="15"/>
        <v>Low</v>
      </c>
    </row>
    <row r="228" spans="1:12" x14ac:dyDescent="0.3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4" t="str">
        <f t="shared" si="15"/>
        <v>Low</v>
      </c>
    </row>
    <row r="229" spans="1:12" x14ac:dyDescent="0.3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4" t="str">
        <f t="shared" si="15"/>
        <v>Low</v>
      </c>
    </row>
    <row r="230" spans="1:12" x14ac:dyDescent="0.3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4" t="str">
        <f t="shared" si="15"/>
        <v>Low</v>
      </c>
    </row>
    <row r="231" spans="1:12" x14ac:dyDescent="0.3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4" t="str">
        <f t="shared" si="15"/>
        <v>Low</v>
      </c>
    </row>
    <row r="232" spans="1:12" x14ac:dyDescent="0.3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4" t="str">
        <f t="shared" si="15"/>
        <v>Low</v>
      </c>
    </row>
    <row r="233" spans="1:12" x14ac:dyDescent="0.3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4" t="str">
        <f t="shared" si="15"/>
        <v>Low</v>
      </c>
    </row>
    <row r="234" spans="1:12" x14ac:dyDescent="0.3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4" t="str">
        <f t="shared" si="15"/>
        <v>Low</v>
      </c>
    </row>
    <row r="235" spans="1:12" x14ac:dyDescent="0.3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4" t="str">
        <f t="shared" si="15"/>
        <v>Low</v>
      </c>
    </row>
    <row r="236" spans="1:12" x14ac:dyDescent="0.3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4" t="str">
        <f t="shared" si="15"/>
        <v>Low</v>
      </c>
    </row>
    <row r="237" spans="1:12" x14ac:dyDescent="0.3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4" t="str">
        <f t="shared" si="15"/>
        <v>Low</v>
      </c>
    </row>
    <row r="238" spans="1:12" x14ac:dyDescent="0.3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4" t="str">
        <f t="shared" si="15"/>
        <v>Low</v>
      </c>
    </row>
    <row r="239" spans="1:12" x14ac:dyDescent="0.3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4" t="str">
        <f t="shared" si="15"/>
        <v>Low</v>
      </c>
    </row>
    <row r="240" spans="1:12" x14ac:dyDescent="0.3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4" t="str">
        <f t="shared" si="15"/>
        <v>Untested</v>
      </c>
    </row>
    <row r="241" spans="1:12" x14ac:dyDescent="0.3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4" t="str">
        <f t="shared" si="15"/>
        <v>Untested</v>
      </c>
    </row>
    <row r="242" spans="1:12" x14ac:dyDescent="0.3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4" t="str">
        <f t="shared" si="15"/>
        <v>Untested</v>
      </c>
    </row>
    <row r="243" spans="1:12" x14ac:dyDescent="0.3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4" t="str">
        <f t="shared" si="15"/>
        <v>Untested</v>
      </c>
    </row>
    <row r="244" spans="1:12" x14ac:dyDescent="0.3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4" t="str">
        <f t="shared" si="15"/>
        <v>Untested</v>
      </c>
    </row>
    <row r="245" spans="1:12" x14ac:dyDescent="0.3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4" t="str">
        <f t="shared" si="15"/>
        <v>Untested</v>
      </c>
    </row>
    <row r="246" spans="1:12" x14ac:dyDescent="0.3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4" t="str">
        <f t="shared" si="15"/>
        <v>Untested</v>
      </c>
    </row>
    <row r="247" spans="1:12" x14ac:dyDescent="0.3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4" t="str">
        <f t="shared" si="15"/>
        <v>Untested</v>
      </c>
    </row>
    <row r="248" spans="1:12" x14ac:dyDescent="0.3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4" t="str">
        <f t="shared" si="15"/>
        <v>Untested</v>
      </c>
    </row>
    <row r="249" spans="1:12" x14ac:dyDescent="0.3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4" t="str">
        <f t="shared" si="15"/>
        <v>Untested</v>
      </c>
    </row>
    <row r="250" spans="1:12" x14ac:dyDescent="0.3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4" t="str">
        <f t="shared" si="15"/>
        <v>Untested</v>
      </c>
    </row>
    <row r="251" spans="1:12" x14ac:dyDescent="0.3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4" t="str">
        <f t="shared" si="15"/>
        <v>Untested</v>
      </c>
    </row>
    <row r="252" spans="1:12" x14ac:dyDescent="0.3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4" t="str">
        <f t="shared" si="15"/>
        <v>Untested</v>
      </c>
    </row>
    <row r="253" spans="1:12" x14ac:dyDescent="0.3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4" t="str">
        <f t="shared" si="15"/>
        <v>Untested</v>
      </c>
    </row>
    <row r="254" spans="1:12" x14ac:dyDescent="0.3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4" t="str">
        <f t="shared" si="15"/>
        <v>Untested</v>
      </c>
    </row>
    <row r="255" spans="1:12" x14ac:dyDescent="0.3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4" t="str">
        <f t="shared" si="15"/>
        <v>Untested</v>
      </c>
    </row>
    <row r="256" spans="1:12" x14ac:dyDescent="0.3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4" t="str">
        <f t="shared" si="15"/>
        <v>Untested</v>
      </c>
    </row>
    <row r="257" spans="1:12" x14ac:dyDescent="0.3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4" t="str">
        <f t="shared" si="15"/>
        <v>Untested</v>
      </c>
    </row>
    <row r="258" spans="1:12" x14ac:dyDescent="0.3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4" t="str">
        <f t="shared" si="15"/>
        <v>Untested</v>
      </c>
    </row>
    <row r="259" spans="1:12" x14ac:dyDescent="0.3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4" t="str">
        <f t="shared" ref="L259:L322" si="19">IF(ISNUMBER(K259),IF(K259&lt;=75,"Low",IF(K259&lt;=200,"Medium","High")),"Untested")</f>
        <v>Untested</v>
      </c>
    </row>
    <row r="260" spans="1:12" x14ac:dyDescent="0.3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4" t="str">
        <f t="shared" si="19"/>
        <v>Untested</v>
      </c>
    </row>
    <row r="261" spans="1:12" x14ac:dyDescent="0.3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4" t="str">
        <f t="shared" si="19"/>
        <v>Untested</v>
      </c>
    </row>
    <row r="262" spans="1:12" x14ac:dyDescent="0.3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4" t="str">
        <f t="shared" si="19"/>
        <v>Untested</v>
      </c>
    </row>
    <row r="263" spans="1:12" x14ac:dyDescent="0.3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4" t="str">
        <f t="shared" si="19"/>
        <v>Untested</v>
      </c>
    </row>
    <row r="264" spans="1:12" x14ac:dyDescent="0.3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4" t="str">
        <f t="shared" si="19"/>
        <v>Untested</v>
      </c>
    </row>
    <row r="265" spans="1:12" x14ac:dyDescent="0.3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4" t="str">
        <f t="shared" si="19"/>
        <v>Untested</v>
      </c>
    </row>
    <row r="266" spans="1:12" x14ac:dyDescent="0.3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4" t="str">
        <f t="shared" si="19"/>
        <v>Untested</v>
      </c>
    </row>
    <row r="267" spans="1:12" x14ac:dyDescent="0.3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4" t="str">
        <f t="shared" si="19"/>
        <v>Untested</v>
      </c>
    </row>
    <row r="268" spans="1:12" x14ac:dyDescent="0.3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4" t="str">
        <f t="shared" si="19"/>
        <v>Untested</v>
      </c>
    </row>
    <row r="269" spans="1:12" x14ac:dyDescent="0.3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4" t="str">
        <f t="shared" si="19"/>
        <v>Untested</v>
      </c>
    </row>
    <row r="270" spans="1:12" x14ac:dyDescent="0.3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4" t="str">
        <f t="shared" si="19"/>
        <v>Untested</v>
      </c>
    </row>
    <row r="271" spans="1:12" x14ac:dyDescent="0.3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4" t="str">
        <f t="shared" si="19"/>
        <v>Untested</v>
      </c>
    </row>
    <row r="272" spans="1:12" x14ac:dyDescent="0.3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4" t="str">
        <f t="shared" si="19"/>
        <v>Untested</v>
      </c>
    </row>
    <row r="273" spans="1:12" x14ac:dyDescent="0.3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4" t="str">
        <f t="shared" si="19"/>
        <v>Untested</v>
      </c>
    </row>
    <row r="274" spans="1:12" x14ac:dyDescent="0.3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4" t="str">
        <f t="shared" si="19"/>
        <v>Untested</v>
      </c>
    </row>
    <row r="275" spans="1:12" x14ac:dyDescent="0.3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4" t="str">
        <f t="shared" si="19"/>
        <v>Untested</v>
      </c>
    </row>
    <row r="276" spans="1:12" x14ac:dyDescent="0.3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4" t="str">
        <f t="shared" si="19"/>
        <v>Untested</v>
      </c>
    </row>
    <row r="277" spans="1:12" x14ac:dyDescent="0.3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4" t="str">
        <f t="shared" si="19"/>
        <v>Untested</v>
      </c>
    </row>
    <row r="278" spans="1:12" x14ac:dyDescent="0.3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4" t="str">
        <f t="shared" si="19"/>
        <v>Untested</v>
      </c>
    </row>
    <row r="279" spans="1:12" x14ac:dyDescent="0.3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4" t="str">
        <f t="shared" si="19"/>
        <v>Untested</v>
      </c>
    </row>
    <row r="280" spans="1:12" x14ac:dyDescent="0.3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4" t="str">
        <f t="shared" si="19"/>
        <v>Untested</v>
      </c>
    </row>
    <row r="281" spans="1:12" x14ac:dyDescent="0.3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4" t="str">
        <f t="shared" si="19"/>
        <v>Untested</v>
      </c>
    </row>
    <row r="282" spans="1:12" x14ac:dyDescent="0.3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4" t="str">
        <f t="shared" si="19"/>
        <v>Untested</v>
      </c>
    </row>
    <row r="283" spans="1:12" x14ac:dyDescent="0.3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4" t="str">
        <f t="shared" si="19"/>
        <v>Untested</v>
      </c>
    </row>
    <row r="284" spans="1:12" x14ac:dyDescent="0.3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4" t="str">
        <f t="shared" si="19"/>
        <v>Untested</v>
      </c>
    </row>
    <row r="285" spans="1:12" x14ac:dyDescent="0.3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4" t="str">
        <f t="shared" si="19"/>
        <v>Untested</v>
      </c>
    </row>
    <row r="286" spans="1:12" x14ac:dyDescent="0.3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4" t="str">
        <f t="shared" si="19"/>
        <v>Untested</v>
      </c>
    </row>
    <row r="287" spans="1:12" x14ac:dyDescent="0.3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4" t="str">
        <f t="shared" si="19"/>
        <v>Untested</v>
      </c>
    </row>
    <row r="288" spans="1:12" x14ac:dyDescent="0.3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4" t="str">
        <f t="shared" si="19"/>
        <v>Untested</v>
      </c>
    </row>
    <row r="289" spans="1:12" x14ac:dyDescent="0.3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4" t="str">
        <f t="shared" si="19"/>
        <v>Untested</v>
      </c>
    </row>
    <row r="290" spans="1:12" x14ac:dyDescent="0.3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4" t="str">
        <f t="shared" si="19"/>
        <v>Untested</v>
      </c>
    </row>
    <row r="291" spans="1:12" x14ac:dyDescent="0.3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4" t="str">
        <f t="shared" si="19"/>
        <v>Untested</v>
      </c>
    </row>
    <row r="292" spans="1:12" x14ac:dyDescent="0.3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4" t="str">
        <f t="shared" si="19"/>
        <v>Untested</v>
      </c>
    </row>
    <row r="293" spans="1:12" x14ac:dyDescent="0.3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4" t="str">
        <f t="shared" si="19"/>
        <v>Untested</v>
      </c>
    </row>
    <row r="294" spans="1:12" x14ac:dyDescent="0.3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4" t="str">
        <f t="shared" si="19"/>
        <v>Untested</v>
      </c>
    </row>
    <row r="295" spans="1:12" x14ac:dyDescent="0.3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4" t="str">
        <f t="shared" si="19"/>
        <v>Untested</v>
      </c>
    </row>
    <row r="296" spans="1:12" x14ac:dyDescent="0.3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4" t="str">
        <f t="shared" si="19"/>
        <v>Untested</v>
      </c>
    </row>
    <row r="297" spans="1:12" x14ac:dyDescent="0.3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4" t="str">
        <f t="shared" si="19"/>
        <v>Untested</v>
      </c>
    </row>
    <row r="298" spans="1:12" x14ac:dyDescent="0.3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4" t="str">
        <f t="shared" si="19"/>
        <v>Untested</v>
      </c>
    </row>
    <row r="299" spans="1:12" x14ac:dyDescent="0.3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4" t="str">
        <f t="shared" si="19"/>
        <v>Untested</v>
      </c>
    </row>
    <row r="300" spans="1:12" x14ac:dyDescent="0.3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4" t="str">
        <f t="shared" si="19"/>
        <v>Untested</v>
      </c>
    </row>
    <row r="301" spans="1:12" x14ac:dyDescent="0.3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4" t="str">
        <f t="shared" si="19"/>
        <v>Untested</v>
      </c>
    </row>
    <row r="302" spans="1:12" x14ac:dyDescent="0.3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4" t="str">
        <f t="shared" si="19"/>
        <v>Untested</v>
      </c>
    </row>
    <row r="303" spans="1:12" x14ac:dyDescent="0.3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4" t="str">
        <f t="shared" si="19"/>
        <v>Untested</v>
      </c>
    </row>
    <row r="304" spans="1:12" x14ac:dyDescent="0.3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4" t="str">
        <f t="shared" si="19"/>
        <v>Untested</v>
      </c>
    </row>
    <row r="305" spans="1:12" x14ac:dyDescent="0.3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4" t="str">
        <f t="shared" si="19"/>
        <v>Untested</v>
      </c>
    </row>
    <row r="306" spans="1:12" x14ac:dyDescent="0.3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4" t="str">
        <f t="shared" si="19"/>
        <v>Untested</v>
      </c>
    </row>
    <row r="307" spans="1:12" x14ac:dyDescent="0.3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4" t="str">
        <f t="shared" si="19"/>
        <v>Untested</v>
      </c>
    </row>
    <row r="308" spans="1:12" x14ac:dyDescent="0.3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4" t="str">
        <f t="shared" si="19"/>
        <v>Untested</v>
      </c>
    </row>
    <row r="309" spans="1:12" x14ac:dyDescent="0.3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4" t="str">
        <f t="shared" si="19"/>
        <v>Untested</v>
      </c>
    </row>
    <row r="310" spans="1:12" x14ac:dyDescent="0.3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4" t="str">
        <f t="shared" si="19"/>
        <v>Untested</v>
      </c>
    </row>
    <row r="311" spans="1:12" x14ac:dyDescent="0.3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4" t="str">
        <f t="shared" si="19"/>
        <v>Untested</v>
      </c>
    </row>
    <row r="312" spans="1:12" x14ac:dyDescent="0.3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4" t="str">
        <f t="shared" si="19"/>
        <v>Untested</v>
      </c>
    </row>
    <row r="313" spans="1:12" x14ac:dyDescent="0.3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4" t="str">
        <f t="shared" si="19"/>
        <v>Untested</v>
      </c>
    </row>
    <row r="314" spans="1:12" x14ac:dyDescent="0.3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4" t="str">
        <f t="shared" si="19"/>
        <v>Untested</v>
      </c>
    </row>
    <row r="315" spans="1:12" x14ac:dyDescent="0.3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4" t="str">
        <f t="shared" si="19"/>
        <v>Untested</v>
      </c>
    </row>
    <row r="316" spans="1:12" x14ac:dyDescent="0.3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4" t="str">
        <f t="shared" si="19"/>
        <v>Untested</v>
      </c>
    </row>
    <row r="317" spans="1:12" x14ac:dyDescent="0.3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4" t="str">
        <f t="shared" si="19"/>
        <v>Untested</v>
      </c>
    </row>
    <row r="318" spans="1:12" x14ac:dyDescent="0.3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4" t="str">
        <f t="shared" si="19"/>
        <v>Untested</v>
      </c>
    </row>
    <row r="319" spans="1:12" x14ac:dyDescent="0.3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4" t="str">
        <f t="shared" si="19"/>
        <v>Untested</v>
      </c>
    </row>
    <row r="320" spans="1:12" x14ac:dyDescent="0.3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4" t="str">
        <f t="shared" si="19"/>
        <v>Untested</v>
      </c>
    </row>
    <row r="321" spans="1:12" x14ac:dyDescent="0.3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4" t="str">
        <f t="shared" si="19"/>
        <v>Untested</v>
      </c>
    </row>
    <row r="322" spans="1:12" x14ac:dyDescent="0.3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4" t="str">
        <f t="shared" si="19"/>
        <v>Untested</v>
      </c>
    </row>
    <row r="323" spans="1:12" x14ac:dyDescent="0.3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4" t="str">
        <f t="shared" ref="L323:L381" si="23">IF(ISNUMBER(K323),IF(K323&lt;=75,"Low",IF(K323&lt;=200,"Medium","High")),"Untested")</f>
        <v>Untested</v>
      </c>
    </row>
    <row r="324" spans="1:12" x14ac:dyDescent="0.3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4" t="str">
        <f t="shared" si="23"/>
        <v>Untested</v>
      </c>
    </row>
    <row r="325" spans="1:12" x14ac:dyDescent="0.3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4" t="str">
        <f t="shared" si="23"/>
        <v>Untested</v>
      </c>
    </row>
    <row r="326" spans="1:12" x14ac:dyDescent="0.3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4" t="str">
        <f t="shared" si="23"/>
        <v>Untested</v>
      </c>
    </row>
    <row r="327" spans="1:12" x14ac:dyDescent="0.3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4" t="str">
        <f t="shared" si="23"/>
        <v>Untested</v>
      </c>
    </row>
    <row r="328" spans="1:12" x14ac:dyDescent="0.3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4" t="str">
        <f t="shared" si="23"/>
        <v>Untested</v>
      </c>
    </row>
    <row r="329" spans="1:12" x14ac:dyDescent="0.3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4" t="str">
        <f t="shared" si="23"/>
        <v>Untested</v>
      </c>
    </row>
    <row r="330" spans="1:12" x14ac:dyDescent="0.3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4" t="str">
        <f t="shared" si="23"/>
        <v>Untested</v>
      </c>
    </row>
    <row r="331" spans="1:12" x14ac:dyDescent="0.3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4" t="str">
        <f t="shared" si="23"/>
        <v>Untested</v>
      </c>
    </row>
    <row r="332" spans="1:12" x14ac:dyDescent="0.3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4" t="str">
        <f t="shared" si="23"/>
        <v>Untested</v>
      </c>
    </row>
    <row r="333" spans="1:12" x14ac:dyDescent="0.3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4" t="str">
        <f t="shared" si="23"/>
        <v>Untested</v>
      </c>
    </row>
    <row r="334" spans="1:12" x14ac:dyDescent="0.3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4" t="str">
        <f t="shared" si="23"/>
        <v>Untested</v>
      </c>
    </row>
    <row r="335" spans="1:12" x14ac:dyDescent="0.3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4" t="str">
        <f t="shared" si="23"/>
        <v>Untested</v>
      </c>
    </row>
    <row r="336" spans="1:12" x14ac:dyDescent="0.3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4" t="str">
        <f t="shared" si="23"/>
        <v>Untested</v>
      </c>
    </row>
    <row r="337" spans="1:12" x14ac:dyDescent="0.3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4" t="str">
        <f t="shared" si="23"/>
        <v>Untested</v>
      </c>
    </row>
    <row r="338" spans="1:12" x14ac:dyDescent="0.3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4" t="str">
        <f t="shared" si="23"/>
        <v>Untested</v>
      </c>
    </row>
    <row r="339" spans="1:12" x14ac:dyDescent="0.3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4" t="str">
        <f t="shared" si="23"/>
        <v>Untested</v>
      </c>
    </row>
    <row r="340" spans="1:12" x14ac:dyDescent="0.3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4" t="str">
        <f t="shared" si="23"/>
        <v>Untested</v>
      </c>
    </row>
    <row r="341" spans="1:12" x14ac:dyDescent="0.3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4" t="str">
        <f t="shared" si="23"/>
        <v>Untested</v>
      </c>
    </row>
    <row r="342" spans="1:12" x14ac:dyDescent="0.3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4" t="str">
        <f t="shared" si="23"/>
        <v>Untested</v>
      </c>
    </row>
    <row r="343" spans="1:12" x14ac:dyDescent="0.3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4" t="str">
        <f t="shared" si="23"/>
        <v>Untested</v>
      </c>
    </row>
    <row r="344" spans="1:12" x14ac:dyDescent="0.3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4" t="str">
        <f t="shared" si="23"/>
        <v>Untested</v>
      </c>
    </row>
    <row r="345" spans="1:12" x14ac:dyDescent="0.3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4" t="str">
        <f t="shared" si="23"/>
        <v>Untested</v>
      </c>
    </row>
    <row r="346" spans="1:12" x14ac:dyDescent="0.3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4" t="str">
        <f t="shared" si="23"/>
        <v>Untested</v>
      </c>
    </row>
    <row r="347" spans="1:12" x14ac:dyDescent="0.3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4" t="str">
        <f t="shared" si="23"/>
        <v>Untested</v>
      </c>
    </row>
    <row r="348" spans="1:12" x14ac:dyDescent="0.3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4" t="str">
        <f t="shared" si="23"/>
        <v>Untested</v>
      </c>
    </row>
    <row r="349" spans="1:12" x14ac:dyDescent="0.3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4" t="str">
        <f t="shared" si="23"/>
        <v>Untested</v>
      </c>
    </row>
    <row r="350" spans="1:12" x14ac:dyDescent="0.3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4" t="str">
        <f t="shared" si="23"/>
        <v>Untested</v>
      </c>
    </row>
    <row r="351" spans="1:12" x14ac:dyDescent="0.3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4" t="str">
        <f t="shared" si="23"/>
        <v>Untested</v>
      </c>
    </row>
    <row r="352" spans="1:12" x14ac:dyDescent="0.3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4" t="str">
        <f t="shared" si="23"/>
        <v>Untested</v>
      </c>
    </row>
    <row r="353" spans="1:12" x14ac:dyDescent="0.3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4" t="str">
        <f t="shared" si="23"/>
        <v>Untested</v>
      </c>
    </row>
    <row r="354" spans="1:12" x14ac:dyDescent="0.3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4" t="str">
        <f t="shared" si="23"/>
        <v>Untested</v>
      </c>
    </row>
    <row r="355" spans="1:12" x14ac:dyDescent="0.3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4" t="str">
        <f t="shared" si="23"/>
        <v>Untested</v>
      </c>
    </row>
    <row r="356" spans="1:12" x14ac:dyDescent="0.3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4" t="str">
        <f t="shared" si="23"/>
        <v>Untested</v>
      </c>
    </row>
    <row r="357" spans="1:12" x14ac:dyDescent="0.3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4" t="str">
        <f t="shared" si="23"/>
        <v>Untested</v>
      </c>
    </row>
    <row r="358" spans="1:12" x14ac:dyDescent="0.3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4" t="str">
        <f t="shared" si="23"/>
        <v>Untested</v>
      </c>
    </row>
    <row r="359" spans="1:12" x14ac:dyDescent="0.3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4" t="str">
        <f t="shared" si="23"/>
        <v>Untested</v>
      </c>
    </row>
    <row r="360" spans="1:12" x14ac:dyDescent="0.3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4" t="str">
        <f t="shared" si="23"/>
        <v>Untested</v>
      </c>
    </row>
    <row r="361" spans="1:12" x14ac:dyDescent="0.3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4" t="str">
        <f t="shared" si="23"/>
        <v>Untested</v>
      </c>
    </row>
    <row r="362" spans="1:12" x14ac:dyDescent="0.3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4" t="str">
        <f t="shared" si="23"/>
        <v>Untested</v>
      </c>
    </row>
    <row r="363" spans="1:12" x14ac:dyDescent="0.3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4" t="str">
        <f t="shared" si="23"/>
        <v>Untested</v>
      </c>
    </row>
    <row r="364" spans="1:12" x14ac:dyDescent="0.3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4" t="str">
        <f t="shared" si="23"/>
        <v>Untested</v>
      </c>
    </row>
    <row r="365" spans="1:12" x14ac:dyDescent="0.3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4" t="str">
        <f t="shared" si="23"/>
        <v>Untested</v>
      </c>
    </row>
    <row r="366" spans="1:12" x14ac:dyDescent="0.3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4" t="str">
        <f t="shared" si="23"/>
        <v>Untested</v>
      </c>
    </row>
    <row r="367" spans="1:12" x14ac:dyDescent="0.3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4" t="str">
        <f t="shared" si="23"/>
        <v>Untested</v>
      </c>
    </row>
    <row r="368" spans="1:12" x14ac:dyDescent="0.3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4" t="str">
        <f t="shared" si="23"/>
        <v>Untested</v>
      </c>
    </row>
    <row r="369" spans="1:12" x14ac:dyDescent="0.3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4" t="str">
        <f t="shared" si="23"/>
        <v>Untested</v>
      </c>
    </row>
    <row r="370" spans="1:12" x14ac:dyDescent="0.3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4" t="str">
        <f t="shared" si="23"/>
        <v>Untested</v>
      </c>
    </row>
    <row r="371" spans="1:12" x14ac:dyDescent="0.3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4" t="str">
        <f t="shared" si="23"/>
        <v>Untested</v>
      </c>
    </row>
    <row r="372" spans="1:12" x14ac:dyDescent="0.3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4" t="str">
        <f t="shared" si="23"/>
        <v>Untested</v>
      </c>
    </row>
    <row r="373" spans="1:12" x14ac:dyDescent="0.3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4" t="str">
        <f t="shared" si="23"/>
        <v>Untested</v>
      </c>
    </row>
    <row r="374" spans="1:12" x14ac:dyDescent="0.3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4" t="str">
        <f t="shared" si="23"/>
        <v>Untested</v>
      </c>
    </row>
    <row r="375" spans="1:12" x14ac:dyDescent="0.3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4" t="str">
        <f t="shared" si="23"/>
        <v>Untested</v>
      </c>
    </row>
    <row r="376" spans="1:12" x14ac:dyDescent="0.3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4" t="str">
        <f t="shared" si="23"/>
        <v>Untested</v>
      </c>
    </row>
    <row r="377" spans="1:12" x14ac:dyDescent="0.3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4" t="str">
        <f t="shared" si="23"/>
        <v>Untested</v>
      </c>
    </row>
    <row r="378" spans="1:12" x14ac:dyDescent="0.3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4" t="str">
        <f t="shared" si="23"/>
        <v>Untested</v>
      </c>
    </row>
    <row r="379" spans="1:12" x14ac:dyDescent="0.3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4" t="str">
        <f t="shared" si="23"/>
        <v>Untested</v>
      </c>
    </row>
    <row r="380" spans="1:12" x14ac:dyDescent="0.3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4" t="str">
        <f t="shared" si="23"/>
        <v>Untested</v>
      </c>
    </row>
    <row r="381" spans="1:12" x14ac:dyDescent="0.3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4" t="str">
        <f t="shared" si="23"/>
        <v>Untested</v>
      </c>
    </row>
  </sheetData>
  <sortState xmlns:xlrd2="http://schemas.microsoft.com/office/spreadsheetml/2017/richdata2" ref="A2:H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zoomScale="130" zoomScaleNormal="130" workbookViewId="0">
      <selection activeCell="J14" sqref="J14"/>
    </sheetView>
  </sheetViews>
  <sheetFormatPr defaultColWidth="10.77734375" defaultRowHeight="15.6" x14ac:dyDescent="0.3"/>
  <cols>
    <col min="1" max="1" width="4.44140625" style="11" customWidth="1"/>
    <col min="2" max="2" width="10.77734375" style="11"/>
    <col min="3" max="10" width="8.77734375" style="11" customWidth="1"/>
    <col min="11" max="12" width="10.77734375" style="11"/>
    <col min="13" max="13" width="9.6640625" style="11" customWidth="1"/>
    <col min="14" max="14" width="10.77734375" style="11"/>
    <col min="15" max="15" width="24.109375" style="11" customWidth="1"/>
    <col min="16" max="16384" width="10.77734375" style="11"/>
  </cols>
  <sheetData>
    <row r="1" spans="1:15" x14ac:dyDescent="0.3">
      <c r="C1" s="16" t="s">
        <v>402</v>
      </c>
    </row>
    <row r="2" spans="1:15" x14ac:dyDescent="0.3">
      <c r="C2" s="11" t="s">
        <v>382</v>
      </c>
    </row>
    <row r="3" spans="1:15" x14ac:dyDescent="0.3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.05" customHeight="1" x14ac:dyDescent="0.3">
      <c r="A4" s="44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3">
      <c r="A5" s="44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6.95" customHeight="1" x14ac:dyDescent="0.3">
      <c r="A6" s="44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3">
      <c r="A7" s="44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.05" customHeight="1" x14ac:dyDescent="0.3">
      <c r="A8" s="44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3">
      <c r="A9" s="44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3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dashboard</vt:lpstr>
      <vt:lpstr>marketing_perf</vt:lpstr>
      <vt:lpstr>signups</vt:lpstr>
      <vt:lpstr>ad_cost</vt:lpstr>
      <vt:lpstr>campaign</vt:lpstr>
      <vt:lpstr>category</vt:lpstr>
      <vt:lpstr>conv</vt:lpstr>
      <vt:lpstr>MARKETING_HEADERS</vt:lpstr>
      <vt:lpstr>MARKETING_PERF</vt:lpstr>
      <vt:lpstr>sales</vt:lpstr>
      <vt:lpstr>signups</vt:lpstr>
      <vt:lpstr>UNIQUE_KEYPHRASES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Karina Kuncheva</cp:lastModifiedBy>
  <dcterms:created xsi:type="dcterms:W3CDTF">2011-03-09T05:01:36Z</dcterms:created>
  <dcterms:modified xsi:type="dcterms:W3CDTF">2026-01-26T09:27:20Z</dcterms:modified>
</cp:coreProperties>
</file>