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6/"/>
    </mc:Choice>
  </mc:AlternateContent>
  <xr:revisionPtr revIDLastSave="1" documentId="11_6B1496B63906E3D6B165F0D3AA64DFD799E1E37A" xr6:coauthVersionLast="47" xr6:coauthVersionMax="47" xr10:uidLastSave="{098876A4-402D-48F6-A9A2-31092487BE2E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K17" i="1"/>
  <c r="K18" i="1"/>
  <c r="K19" i="1"/>
  <c r="K20" i="1"/>
  <c r="K16" i="1"/>
  <c r="K9" i="1"/>
  <c r="K10" i="1"/>
  <c r="K11" i="1"/>
  <c r="K12" i="1"/>
  <c r="K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<sst xmlns="http://schemas.openxmlformats.org/spreadsheetml/2006/main" count="45" uniqueCount="14">
  <si>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</si>
  <si>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</si>
  <si>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</si>
  <si>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</si>
  <si>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</si>
  <si>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</si>
  <si>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</si>
  <si>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</si>
  <si>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</si>
  <si>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</si>
  <si>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</si>
  <si>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</si>
  <si>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Percentile</t>
  </si>
  <si>
    <t>Percentile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</si>
</sst>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2" applyFon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167" fontId="0" fillId="3" borderId="0" xfId="2" applyNumberFormat="1" applyFont="1" applyFill="1"/>
    <xf numFmtId="0" fontId="2" fillId="2" borderId="0" xfId="0" applyFont="1" applyFill="1" applyAlignment="1">
      <alignment horizontal="center"/>
    </xf>
    <xf numFmtId="9" fontId="0" fillId="3" borderId="0" xfId="3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166" fontId="0" fillId="0" borderId="0" xfId="1" applyNumberFormat="1" applyFont="1" applyFill="1" applyAlignment="1">
      <alignment horizontal="right"/>
    </xf>
    <xf numFmtId="167" fontId="0" fillId="0" borderId="0" xfId="2" applyNumberFormat="1" applyFont="1" applyFill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B1" zoomScale="78" zoomScaleNormal="78" workbookViewId="0">
      <selection activeCell="K8" sqref="K8"/>
    </sheetView>
  </sheetViews>
  <sheetFormatPr defaultColWidth="11.19921875" defaultRowHeight="15.6" x14ac:dyDescent="0.3"/>
  <cols>
    <col min="1" max="1" width="8.19921875" bestFit="1" customWidth="1"/>
    <col min="2" max="2" width="11.19921875" bestFit="1" customWidth="1"/>
    <col min="3" max="3" width="11.796875" bestFit="1" customWidth="1"/>
    <col min="4" max="4" width="9" bestFit="1" customWidth="1"/>
    <col min="5" max="5" width="8.19921875" bestFit="1" customWidth="1"/>
    <col min="6" max="6" width="10.796875" customWidth="1"/>
    <col min="7" max="7" width="14.69921875" style="11" bestFit="1" customWidth="1"/>
    <col min="8" max="8" width="3.5" customWidth="1"/>
    <col min="9" max="9" width="10.69921875" customWidth="1"/>
    <col min="10" max="10" width="9.296875" style="6" bestFit="1" customWidth="1"/>
    <col min="11" max="11" width="16.5" customWidth="1"/>
  </cols>
  <sheetData>
    <row r="1" spans="1:11" x14ac:dyDescent="0.3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G1" s="9" t="s">
        <v>13</v>
      </c>
      <c r="J1" s="2" t="s">
        <v>3</v>
      </c>
      <c r="K1" s="2" t="s">
        <v>4</v>
      </c>
    </row>
    <row r="2" spans="1:11" x14ac:dyDescent="0.3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7">
        <f>D2*E2</f>
        <v>1200</v>
      </c>
      <c r="G2" s="10">
        <f>_xlfn.PERCENTRANK.EXC($F$2:$F$30,F2)</f>
        <v>0.53300000000000003</v>
      </c>
      <c r="I2" s="2" t="s">
        <v>8</v>
      </c>
      <c r="J2" s="13">
        <f>AVERAGE($E$2:$E$30)</f>
        <v>512.75862068965512</v>
      </c>
      <c r="K2" s="14">
        <f>AVERAGE($F$2:$F$30)</f>
        <v>1121.2068965517242</v>
      </c>
    </row>
    <row r="3" spans="1:11" x14ac:dyDescent="0.3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7">
        <f t="shared" ref="F3:F30" si="0">D3*E3</f>
        <v>915</v>
      </c>
      <c r="G3" s="10">
        <f t="shared" ref="G3:G30" si="1">_xlfn.PERCENTRANK.EXC($F$2:$F$30,F3)</f>
        <v>0.46600000000000003</v>
      </c>
      <c r="I3" s="2" t="s">
        <v>9</v>
      </c>
      <c r="J3" s="13">
        <f>MEDIAN($E$2:$E$30)</f>
        <v>490</v>
      </c>
      <c r="K3" s="14">
        <f>MEDIAN($F$2:$F$30)</f>
        <v>1050</v>
      </c>
    </row>
    <row r="4" spans="1:11" x14ac:dyDescent="0.3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7">
        <f t="shared" si="0"/>
        <v>1470</v>
      </c>
      <c r="G4" s="10">
        <f t="shared" si="1"/>
        <v>0.76600000000000001</v>
      </c>
      <c r="I4" s="2" t="s">
        <v>10</v>
      </c>
      <c r="J4" s="13">
        <f>MODE($E$2:$E$30)</f>
        <v>240</v>
      </c>
      <c r="K4" s="14">
        <f>MODE($F$2:$F$30)</f>
        <v>1200</v>
      </c>
    </row>
    <row r="5" spans="1:11" x14ac:dyDescent="0.3">
      <c r="A5" s="3">
        <v>5727287</v>
      </c>
      <c r="B5" s="3">
        <v>23</v>
      </c>
      <c r="C5" s="3" t="s">
        <v>7</v>
      </c>
      <c r="D5" s="4">
        <v>3</v>
      </c>
      <c r="E5" s="3">
        <v>530</v>
      </c>
      <c r="F5" s="7">
        <f t="shared" si="0"/>
        <v>1590</v>
      </c>
      <c r="G5" s="10">
        <f t="shared" si="1"/>
        <v>0.83299999999999996</v>
      </c>
    </row>
    <row r="6" spans="1:11" x14ac:dyDescent="0.3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7">
        <f t="shared" si="0"/>
        <v>780</v>
      </c>
      <c r="G6" s="10">
        <f t="shared" si="1"/>
        <v>0.36599999999999999</v>
      </c>
    </row>
    <row r="7" spans="1:11" x14ac:dyDescent="0.3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7">
        <f t="shared" si="0"/>
        <v>1200</v>
      </c>
      <c r="G7" s="10">
        <f t="shared" si="1"/>
        <v>0.53300000000000003</v>
      </c>
      <c r="J7" s="2" t="s">
        <v>12</v>
      </c>
      <c r="K7" s="2" t="s">
        <v>3</v>
      </c>
    </row>
    <row r="8" spans="1:11" x14ac:dyDescent="0.3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7">
        <f t="shared" si="0"/>
        <v>600</v>
      </c>
      <c r="G8" s="10">
        <f t="shared" si="1"/>
        <v>0.2</v>
      </c>
      <c r="J8" s="12">
        <v>0.1</v>
      </c>
      <c r="K8" s="5">
        <f>_xlfn.PERCENTILE.EXC($E$2:$E$30,J8)</f>
        <v>220</v>
      </c>
    </row>
    <row r="9" spans="1:11" x14ac:dyDescent="0.3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7">
        <f t="shared" si="0"/>
        <v>2310</v>
      </c>
      <c r="G9" s="10">
        <f t="shared" si="1"/>
        <v>0.93300000000000005</v>
      </c>
      <c r="J9" s="12">
        <v>0.25</v>
      </c>
      <c r="K9" s="5">
        <f t="shared" ref="K9:K12" si="2">_xlfn.PERCENTILE.EXC($E$2:$E$30,J9)</f>
        <v>310</v>
      </c>
    </row>
    <row r="10" spans="1:11" x14ac:dyDescent="0.3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7">
        <f t="shared" si="0"/>
        <v>300</v>
      </c>
      <c r="G10" s="10">
        <f t="shared" si="1"/>
        <v>6.6000000000000003E-2</v>
      </c>
      <c r="J10" s="12">
        <v>0.5</v>
      </c>
      <c r="K10" s="5">
        <f t="shared" si="2"/>
        <v>490</v>
      </c>
    </row>
    <row r="11" spans="1:11" x14ac:dyDescent="0.3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7">
        <f t="shared" si="0"/>
        <v>390</v>
      </c>
      <c r="G11" s="10">
        <f t="shared" si="1"/>
        <v>0.13300000000000001</v>
      </c>
      <c r="J11" s="12">
        <v>0.75</v>
      </c>
      <c r="K11" s="5">
        <f t="shared" si="2"/>
        <v>700</v>
      </c>
    </row>
    <row r="12" spans="1:11" x14ac:dyDescent="0.3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7">
        <f t="shared" si="0"/>
        <v>570</v>
      </c>
      <c r="G12" s="10">
        <f t="shared" si="1"/>
        <v>0.16600000000000001</v>
      </c>
      <c r="J12" s="12">
        <v>0.9</v>
      </c>
      <c r="K12" s="5">
        <f t="shared" si="2"/>
        <v>920</v>
      </c>
    </row>
    <row r="13" spans="1:11" x14ac:dyDescent="0.3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7">
        <f t="shared" si="0"/>
        <v>660</v>
      </c>
      <c r="G13" s="10">
        <f t="shared" si="1"/>
        <v>0.26600000000000001</v>
      </c>
    </row>
    <row r="14" spans="1:11" x14ac:dyDescent="0.3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7">
        <f t="shared" si="0"/>
        <v>180</v>
      </c>
      <c r="G14" s="10">
        <f t="shared" si="1"/>
        <v>3.3000000000000002E-2</v>
      </c>
    </row>
    <row r="15" spans="1:11" x14ac:dyDescent="0.3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7">
        <f t="shared" si="0"/>
        <v>1450</v>
      </c>
      <c r="G15" s="10">
        <f t="shared" si="1"/>
        <v>0.73299999999999998</v>
      </c>
      <c r="J15" s="2" t="s">
        <v>12</v>
      </c>
      <c r="K15" s="2" t="s">
        <v>4</v>
      </c>
    </row>
    <row r="16" spans="1:11" x14ac:dyDescent="0.3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7">
        <f t="shared" si="0"/>
        <v>2490</v>
      </c>
      <c r="G16" s="10">
        <f t="shared" si="1"/>
        <v>0.96599999999999997</v>
      </c>
      <c r="J16" s="12">
        <v>0.1</v>
      </c>
      <c r="K16" s="8">
        <f>_xlfn.PERCENTILE.EXC($F$2:$F$30,J16)</f>
        <v>360</v>
      </c>
    </row>
    <row r="17" spans="1:11" x14ac:dyDescent="0.3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7">
        <f t="shared" si="0"/>
        <v>1410</v>
      </c>
      <c r="G17" s="10">
        <f t="shared" si="1"/>
        <v>0.7</v>
      </c>
      <c r="J17" s="12">
        <v>0.25</v>
      </c>
      <c r="K17" s="8">
        <f t="shared" ref="K17:K20" si="3">_xlfn.PERCENTILE.EXC($F$2:$F$30,J17)</f>
        <v>645</v>
      </c>
    </row>
    <row r="18" spans="1:11" x14ac:dyDescent="0.3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7">
        <f t="shared" si="0"/>
        <v>1290</v>
      </c>
      <c r="G18" s="10">
        <f t="shared" si="1"/>
        <v>0.6</v>
      </c>
      <c r="J18" s="12">
        <v>0.5</v>
      </c>
      <c r="K18" s="8">
        <f t="shared" si="3"/>
        <v>1050</v>
      </c>
    </row>
    <row r="19" spans="1:11" x14ac:dyDescent="0.3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7">
        <f t="shared" si="0"/>
        <v>1485</v>
      </c>
      <c r="G19" s="10">
        <f t="shared" si="1"/>
        <v>0.8</v>
      </c>
      <c r="J19" s="12">
        <v>0.75</v>
      </c>
      <c r="K19" s="8">
        <f t="shared" si="3"/>
        <v>1460</v>
      </c>
    </row>
    <row r="20" spans="1:11" x14ac:dyDescent="0.3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7">
        <f t="shared" si="0"/>
        <v>1050</v>
      </c>
      <c r="G20" s="10">
        <f t="shared" si="1"/>
        <v>0.5</v>
      </c>
      <c r="J20" s="12">
        <v>0.9</v>
      </c>
      <c r="K20" s="8">
        <f t="shared" si="3"/>
        <v>2160</v>
      </c>
    </row>
    <row r="21" spans="1:11" x14ac:dyDescent="0.3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7">
        <f t="shared" si="0"/>
        <v>2040</v>
      </c>
      <c r="G21" s="10">
        <f t="shared" si="1"/>
        <v>0.86599999999999999</v>
      </c>
    </row>
    <row r="22" spans="1:11" x14ac:dyDescent="0.3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7">
        <f t="shared" si="0"/>
        <v>750</v>
      </c>
      <c r="G22" s="10">
        <f t="shared" si="1"/>
        <v>0.3</v>
      </c>
    </row>
    <row r="23" spans="1:11" x14ac:dyDescent="0.3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7">
        <f t="shared" si="0"/>
        <v>630</v>
      </c>
      <c r="G23" s="10">
        <f t="shared" si="1"/>
        <v>0.23300000000000001</v>
      </c>
    </row>
    <row r="24" spans="1:11" x14ac:dyDescent="0.3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7">
        <f t="shared" si="0"/>
        <v>855</v>
      </c>
      <c r="G24" s="10">
        <f t="shared" si="1"/>
        <v>0.4</v>
      </c>
    </row>
    <row r="25" spans="1:11" x14ac:dyDescent="0.3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7">
        <f t="shared" si="0"/>
        <v>750</v>
      </c>
      <c r="G25" s="10">
        <f t="shared" si="1"/>
        <v>0.3</v>
      </c>
    </row>
    <row r="26" spans="1:11" x14ac:dyDescent="0.3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7">
        <f t="shared" si="0"/>
        <v>1380</v>
      </c>
      <c r="G26" s="10">
        <f t="shared" si="1"/>
        <v>0.66600000000000004</v>
      </c>
    </row>
    <row r="27" spans="1:11" x14ac:dyDescent="0.3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7">
        <f t="shared" si="0"/>
        <v>900</v>
      </c>
      <c r="G27" s="10">
        <f t="shared" si="1"/>
        <v>0.433</v>
      </c>
    </row>
    <row r="28" spans="1:11" x14ac:dyDescent="0.3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7">
        <f t="shared" si="0"/>
        <v>360</v>
      </c>
      <c r="G28" s="10">
        <f t="shared" si="1"/>
        <v>0.1</v>
      </c>
    </row>
    <row r="29" spans="1:11" x14ac:dyDescent="0.3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7">
        <f t="shared" si="0"/>
        <v>1350</v>
      </c>
      <c r="G29" s="10">
        <f t="shared" si="1"/>
        <v>0.63300000000000001</v>
      </c>
    </row>
    <row r="30" spans="1:11" x14ac:dyDescent="0.3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7">
        <f t="shared" si="0"/>
        <v>2160</v>
      </c>
      <c r="G30" s="10">
        <f t="shared" si="1"/>
        <v>0.9</v>
      </c>
    </row>
  </sheetData>
  <pageMargins left="0.7" right="0.7" top="0.75" bottom="0.75" header="0.3" footer="0.3"/>
  <pageSetup orientation="portrait" horizontalDpi="0" verticalDpi="0"/>
  <ignoredErrors>
    <ignoredError sqref="J3:K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2017-09-24T22:03:21Z</dcterms:created>
  <dcterms:modified xsi:type="dcterms:W3CDTF">2026-01-26T07:19:14Z</dcterms:modified>
</cp:coreProperties>
</file>