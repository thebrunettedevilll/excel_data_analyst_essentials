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14" documentId="11_87D7414E91A6F3313F0746B0DF8C45ABC2AD3028" xr6:coauthVersionLast="47" xr6:coauthVersionMax="47" xr10:uidLastSave="{846D431E-561E-445A-932A-CAB7C0CEA43A}"/>
  <bookViews>
    <workbookView xWindow="-96" yWindow="0" windowWidth="11712" windowHeight="12336" tabRatio="500" xr2:uid="{00000000-000D-0000-FFFF-FFFF00000000}"/>
  </bookViews>
  <sheets>
    <sheet name="Clustered Column Data" sheetId="1" r:id="rId1"/>
    <sheet name="Clustered Column Chart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" i="1" l="1"/>
  <c r="L6" i="1"/>
  <c r="K4" i="1"/>
  <c r="K6" i="1"/>
  <c r="J4" i="1"/>
  <c r="J6" i="1"/>
  <c r="I4" i="1"/>
  <c r="I6" i="1"/>
  <c r="H4" i="1"/>
  <c r="H6" i="1"/>
  <c r="G4" i="1"/>
  <c r="G6" i="1"/>
  <c r="F4" i="1"/>
  <c r="F6" i="1"/>
  <c r="E4" i="1"/>
  <c r="E6" i="1"/>
  <c r="D4" i="1"/>
  <c r="D6" i="1"/>
  <c r="C4" i="1"/>
  <c r="C6" i="1"/>
  <c r="B4" i="1"/>
  <c r="B6" i="1"/>
  <c r="K1" i="1"/>
  <c r="J1" i="1"/>
  <c r="I1" i="1"/>
  <c r="H1" i="1"/>
  <c r="G1" i="1"/>
  <c r="F1" i="1"/>
  <c r="E1" i="1"/>
  <c r="D1" i="1"/>
  <c r="C1" i="1"/>
  <c r="B1" i="1"/>
  <c r="L4" i="2"/>
  <c r="L6" i="2"/>
  <c r="K4" i="2"/>
  <c r="K6" i="2"/>
  <c r="J4" i="2"/>
  <c r="J6" i="2"/>
  <c r="I4" i="2"/>
  <c r="I6" i="2"/>
  <c r="H4" i="2"/>
  <c r="H6" i="2"/>
  <c r="G4" i="2"/>
  <c r="G6" i="2"/>
  <c r="F4" i="2"/>
  <c r="F6" i="2"/>
  <c r="E4" i="2"/>
  <c r="E6" i="2"/>
  <c r="D4" i="2"/>
  <c r="D6" i="2"/>
  <c r="C4" i="2"/>
  <c r="C6" i="2"/>
  <c r="B4" i="2"/>
  <c r="B6" i="2"/>
  <c r="K1" i="2"/>
  <c r="J1" i="2"/>
  <c r="I1" i="2"/>
  <c r="H1" i="2"/>
  <c r="G1" i="2"/>
  <c r="F1" i="2"/>
  <c r="E1" i="2"/>
  <c r="D1" i="2"/>
  <c r="C1" i="2"/>
  <c r="B1" i="2"/>
</calcChain>
</file>

<file path=xl/sharedStrings.xml><?xml version="1.0" encoding="utf-8"?>
<sst xmlns="http://schemas.openxmlformats.org/spreadsheetml/2006/main" count="6" uniqueCount="3">
  <si>
    <t>Revenue</t>
  </si>
  <si>
    <t>Cost of Goods Sold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</si>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</sst>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1" applyFont="1"/>
    <xf numFmtId="164" fontId="0" fillId="0" borderId="0" xfId="2" applyNumberFormat="1" applyFont="1"/>
    <xf numFmtId="38" fontId="0" fillId="0" borderId="0" xfId="2" applyNumberFormat="1" applyFont="1"/>
    <xf numFmtId="164" fontId="1" fillId="0" borderId="0" xfId="1" applyNumberFormat="1"/>
  </cellXfs>
  <cellStyles count="7">
    <cellStyle name="Comma 2" xfId="2" xr:uid="{00000000-0005-0000-0000-000000000000}"/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  <cellStyle name="Normal 2" xfId="1" xr:uid="{00000000-0005-0000-0000-000006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vs Gross Profit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'Clustered Column Data'!$A$2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'Clustered Column Data'!$B$1:$L$1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'Clustered Column Data'!$B$2:$L$2</c:f>
              <c:numCache>
                <c:formatCode>_-* #,##0_-;\-* #,##0_-;_-* "-"??_-;_-@_-</c:formatCode>
                <c:ptCount val="11"/>
                <c:pt idx="0">
                  <c:v>850750</c:v>
                </c:pt>
                <c:pt idx="1">
                  <c:v>910302.5</c:v>
                </c:pt>
                <c:pt idx="2">
                  <c:v>1037744.8500000001</c:v>
                </c:pt>
                <c:pt idx="3">
                  <c:v>1100009.5410000002</c:v>
                </c:pt>
                <c:pt idx="4">
                  <c:v>1221010.5905100002</c:v>
                </c:pt>
                <c:pt idx="5">
                  <c:v>1306481.3318457003</c:v>
                </c:pt>
                <c:pt idx="6">
                  <c:v>1384870.2117564424</c:v>
                </c:pt>
                <c:pt idx="7">
                  <c:v>1592600.7435199087</c:v>
                </c:pt>
                <c:pt idx="8">
                  <c:v>1735934.8104367007</c:v>
                </c:pt>
                <c:pt idx="9">
                  <c:v>1944246.9876891049</c:v>
                </c:pt>
                <c:pt idx="10">
                  <c:v>2158114.1563349068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0-4AFB-B8B3-090558656639}"/>
            </c:ext>
          </c:extLst>
        </c:ser>
        <c:ser>
          <c:idx val="1"/>
          <c:order val="1"/>
          <c:tx>
            <c:strRef>
              <c:f>'Clustered Column Data'!$A$3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'Clustered Column Data'!$B$1:$L$1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'Clustered Column Data'!$B$3:$L$3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60F0-4AFB-B8B3-090558656639}"/>
            </c:ext>
          </c:extLst>
        </c:ser>
        <c:ser>
          <c:idx val="3"/>
          <c:order val="2"/>
          <c:tx>
            <c:strRef>
              <c:f>'Clustered Column Data'!$A$5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'Clustered Column Data'!$B$1:$L$1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'Clustered Column Data'!$B$5:$L$5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60F0-4AFB-B8B3-090558656639}"/>
            </c:ext>
          </c:extLst>
        </c:ser>
        <c:ser>
          <c:idx val="4"/>
          <c:order val="3"/>
          <c:tx>
            <c:strRef>
              <c:f>'Clustered Column Data'!$A$6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'Clustered Column Data'!$B$1:$L$1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'Clustered Column Data'!$B$6:$L$6</c:f>
              <c:numCache>
                <c:formatCode>_-* #,##0_-;\-* #,##0_-;_-* "-"??_-;_-@_-</c:formatCode>
                <c:ptCount val="11"/>
                <c:pt idx="0">
                  <c:v>527465</c:v>
                </c:pt>
                <c:pt idx="1">
                  <c:v>646314.77500000002</c:v>
                </c:pt>
                <c:pt idx="2">
                  <c:v>736798.84350000008</c:v>
                </c:pt>
                <c:pt idx="3">
                  <c:v>704006.10624000011</c:v>
                </c:pt>
                <c:pt idx="4">
                  <c:v>830287.20154680009</c:v>
                </c:pt>
                <c:pt idx="5">
                  <c:v>836148.05238124821</c:v>
                </c:pt>
                <c:pt idx="6">
                  <c:v>927863.04187681642</c:v>
                </c:pt>
                <c:pt idx="7">
                  <c:v>1130746.5278991354</c:v>
                </c:pt>
                <c:pt idx="8">
                  <c:v>1128357.6267838555</c:v>
                </c:pt>
                <c:pt idx="9">
                  <c:v>1341530.4215054824</c:v>
                </c:pt>
                <c:pt idx="10">
                  <c:v>1402774.2016176893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0-4AFB-B8B3-090558656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181072"/>
        <c:axId val="1592178192"/>
      </c:barChart>
      <c:catAx>
        <c:axId val="159218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178192"/>
        <c:crosses val="autoZero"/>
        <c:auto val="1"/>
        <c:lblAlgn val="ctr"/>
        <c:lblOffset val="100"/>
        <c:noMultiLvlLbl val="0"/>
      </c:catAx>
      <c:valAx>
        <c:axId val="15921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18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IE" sz="1200"/>
              <a:t>Annual</a:t>
            </a:r>
            <a:r>
              <a:rPr lang="en-IE" sz="1200" baseline="0"/>
              <a:t> revenue &amp; gross profit</a:t>
            </a:r>
            <a:r>
              <a:rPr lang="en-IE" sz="1200" b="0" u="none" baseline="0"/>
              <a:t>, $ USD</a:t>
            </a:r>
            <a:endParaRPr lang="en-IE" sz="1200" b="0" u="none"/>
          </a:p>
        </c:rich>
      </c:tx>
      <c:layout>
        <c:manualLayout>
          <c:xMode val="edge"/>
          <c:yMode val="edge"/>
          <c:x val="2.0815633975725199E-2"/>
          <c:y val="2.77777777777778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Revenue</c:v>
          </c:tx>
          <c:spPr>
            <a:solidFill>
              <a:schemeClr val="accent1"/>
            </a:solidFill>
          </c:spPr>
          <c:invertIfNegative val="0"/>
          <c:cat>
            <c:numRef>
              <c:f>'Clustered Column Chart'!$B$1:$L$1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'Clustered Column Chart'!$B$2:$L$2</c:f>
              <c:numCache>
                <c:formatCode>_-* #,##0_-;\-* #,##0_-;_-* "-"??_-;_-@_-</c:formatCode>
                <c:ptCount val="11"/>
                <c:pt idx="0">
                  <c:v>850750</c:v>
                </c:pt>
                <c:pt idx="1">
                  <c:v>910302.5</c:v>
                </c:pt>
                <c:pt idx="2">
                  <c:v>1037744.8500000001</c:v>
                </c:pt>
                <c:pt idx="3">
                  <c:v>1100009.5410000002</c:v>
                </c:pt>
                <c:pt idx="4">
                  <c:v>1221010.5905100002</c:v>
                </c:pt>
                <c:pt idx="5">
                  <c:v>1306481.3318457003</c:v>
                </c:pt>
                <c:pt idx="6">
                  <c:v>1384870.2117564424</c:v>
                </c:pt>
                <c:pt idx="7">
                  <c:v>1592600.7435199087</c:v>
                </c:pt>
                <c:pt idx="8">
                  <c:v>1735934.8104367007</c:v>
                </c:pt>
                <c:pt idx="9">
                  <c:v>1944246.9876891049</c:v>
                </c:pt>
                <c:pt idx="10">
                  <c:v>2158114.1563349068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1-4F93-BF5B-306B8AFBC9D2}"/>
            </c:ext>
          </c:extLst>
        </c:ser>
        <c:ser>
          <c:idx val="2"/>
          <c:order val="1"/>
          <c:tx>
            <c:strRef>
              <c:f>'Clustered Column Chart'!$A$4</c:f>
              <c:strCache>
                <c:ptCount val="1"/>
                <c:pt idx="0">
                  <c:v>Cost of Goods Sold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'Clustered Column Chart'!$B$1:$L$1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'Clustered Column Chart'!$B$4:$L$4</c:f>
              <c:numCache>
                <c:formatCode>#,##0_);[Red]\(#,##0\)</c:formatCode>
                <c:ptCount val="11"/>
                <c:pt idx="0">
                  <c:v>-323285</c:v>
                </c:pt>
                <c:pt idx="1">
                  <c:v>-300399.82500000001</c:v>
                </c:pt>
                <c:pt idx="2">
                  <c:v>-342455.80050000007</c:v>
                </c:pt>
                <c:pt idx="3">
                  <c:v>-308002.67148000008</c:v>
                </c:pt>
                <c:pt idx="4">
                  <c:v>-341882.96534280007</c:v>
                </c:pt>
                <c:pt idx="5">
                  <c:v>-444203.65282753814</c:v>
                </c:pt>
                <c:pt idx="6">
                  <c:v>-484704.5741147548</c:v>
                </c:pt>
                <c:pt idx="7">
                  <c:v>-557410.26023196802</c:v>
                </c:pt>
                <c:pt idx="8">
                  <c:v>-538139.7912353772</c:v>
                </c:pt>
                <c:pt idx="9">
                  <c:v>-680486.4456911867</c:v>
                </c:pt>
                <c:pt idx="10">
                  <c:v>-669015.38846382115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41-4F93-BF5B-306B8AFBC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6741424"/>
        <c:axId val="-103113584"/>
      </c:barChart>
      <c:catAx>
        <c:axId val="-10674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03113584"/>
        <c:crosses val="autoZero"/>
        <c:auto val="1"/>
        <c:lblAlgn val="ctr"/>
        <c:lblOffset val="100"/>
        <c:noMultiLvlLbl val="0"/>
      </c:catAx>
      <c:valAx>
        <c:axId val="-103113584"/>
        <c:scaling>
          <c:orientation val="minMax"/>
        </c:scaling>
        <c:delete val="0"/>
        <c:axPos val="l"/>
        <c:majorGridlines/>
        <c:numFmt formatCode="#,##0.0" sourceLinked="0"/>
        <c:majorTickMark val="out"/>
        <c:minorTickMark val="none"/>
        <c:tickLblPos val="nextTo"/>
        <c:crossAx val="-106741424"/>
        <c:crosses val="autoZero"/>
        <c:crossBetween val="between"/>
        <c:dispUnits>
          <c:builtInUnit val="millions"/>
          <c:dispUnitsLbl/>
        </c:dispUnits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IE" sz="1200"/>
              <a:t>Annual</a:t>
            </a:r>
            <a:r>
              <a:rPr lang="en-IE" sz="1200" baseline="0"/>
              <a:t> revenue &amp; gross profit</a:t>
            </a:r>
            <a:r>
              <a:rPr lang="en-IE" sz="1200" b="0" u="none" baseline="0"/>
              <a:t>, $ USD</a:t>
            </a:r>
            <a:endParaRPr lang="en-IE" sz="1200" b="0" u="none"/>
          </a:p>
        </c:rich>
      </c:tx>
      <c:layout>
        <c:manualLayout>
          <c:xMode val="edge"/>
          <c:yMode val="edge"/>
          <c:x val="2.0815633975725199E-2"/>
          <c:y val="2.77777777777778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Revenue</c:v>
          </c:tx>
          <c:spPr>
            <a:solidFill>
              <a:schemeClr val="accent1"/>
            </a:solidFill>
          </c:spPr>
          <c:invertIfNegative val="0"/>
          <c:cat>
            <c:numRef>
              <c:f>'Clustered Column Chart'!$B$1:$L$1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'Clustered Column Chart'!$B$2:$L$2</c:f>
              <c:numCache>
                <c:formatCode>_-* #,##0_-;\-* #,##0_-;_-* "-"??_-;_-@_-</c:formatCode>
                <c:ptCount val="11"/>
                <c:pt idx="0">
                  <c:v>850750</c:v>
                </c:pt>
                <c:pt idx="1">
                  <c:v>910302.5</c:v>
                </c:pt>
                <c:pt idx="2">
                  <c:v>1037744.8500000001</c:v>
                </c:pt>
                <c:pt idx="3">
                  <c:v>1100009.5410000002</c:v>
                </c:pt>
                <c:pt idx="4">
                  <c:v>1221010.5905100002</c:v>
                </c:pt>
                <c:pt idx="5">
                  <c:v>1306481.3318457003</c:v>
                </c:pt>
                <c:pt idx="6">
                  <c:v>1384870.2117564424</c:v>
                </c:pt>
                <c:pt idx="7">
                  <c:v>1592600.7435199087</c:v>
                </c:pt>
                <c:pt idx="8">
                  <c:v>1735934.8104367007</c:v>
                </c:pt>
                <c:pt idx="9">
                  <c:v>1944246.9876891049</c:v>
                </c:pt>
                <c:pt idx="10">
                  <c:v>2158114.1563349068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A-4DB2-AC31-C1AE82E0618F}"/>
            </c:ext>
          </c:extLst>
        </c:ser>
        <c:ser>
          <c:idx val="0"/>
          <c:order val="1"/>
          <c:tx>
            <c:strRef>
              <c:f>'Clustered Column Chart'!$A$6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'Clustered Column Chart'!$B$1:$L$1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'Clustered Column Chart'!$B$6:$L$6</c:f>
              <c:numCache>
                <c:formatCode>_-* #,##0_-;\-* #,##0_-;_-* "-"??_-;_-@_-</c:formatCode>
                <c:ptCount val="11"/>
                <c:pt idx="0">
                  <c:v>527465</c:v>
                </c:pt>
                <c:pt idx="1">
                  <c:v>609902.67500000005</c:v>
                </c:pt>
                <c:pt idx="2">
                  <c:v>695289.04949999996</c:v>
                </c:pt>
                <c:pt idx="3">
                  <c:v>792006.86952000018</c:v>
                </c:pt>
                <c:pt idx="4">
                  <c:v>879127.62516720011</c:v>
                </c:pt>
                <c:pt idx="5">
                  <c:v>862277.67901816219</c:v>
                </c:pt>
                <c:pt idx="6">
                  <c:v>900165.63764168764</c:v>
                </c:pt>
                <c:pt idx="7">
                  <c:v>1035190.4832879407</c:v>
                </c:pt>
                <c:pt idx="8">
                  <c:v>1197795.0192013234</c:v>
                </c:pt>
                <c:pt idx="9">
                  <c:v>1263760.5419979182</c:v>
                </c:pt>
                <c:pt idx="10">
                  <c:v>1489098.7678710856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A-4DB2-AC31-C1AE82E06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2020816"/>
        <c:axId val="168748960"/>
      </c:barChart>
      <c:catAx>
        <c:axId val="-12202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748960"/>
        <c:crosses val="autoZero"/>
        <c:auto val="1"/>
        <c:lblAlgn val="ctr"/>
        <c:lblOffset val="100"/>
        <c:noMultiLvlLbl val="0"/>
      </c:catAx>
      <c:valAx>
        <c:axId val="168748960"/>
        <c:scaling>
          <c:orientation val="minMax"/>
        </c:scaling>
        <c:delete val="0"/>
        <c:axPos val="l"/>
        <c:majorGridlines/>
        <c:numFmt formatCode="#,##0.0" sourceLinked="0"/>
        <c:majorTickMark val="out"/>
        <c:minorTickMark val="none"/>
        <c:tickLblPos val="nextTo"/>
        <c:crossAx val="-122020816"/>
        <c:crosses val="autoZero"/>
        <c:crossBetween val="between"/>
        <c:dispUnits>
          <c:builtInUnit val="millions"/>
          <c:dispUnitsLbl/>
        </c:dispUnits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10</xdr:row>
      <xdr:rowOff>131989</xdr:rowOff>
    </xdr:from>
    <xdr:to>
      <xdr:col>9</xdr:col>
      <xdr:colOff>244927</xdr:colOff>
      <xdr:row>32</xdr:row>
      <xdr:rowOff>54428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20E54-3C3D-B94F-1CC6-6F9FAE8B9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156634</xdr:rowOff>
    </xdr:from>
    <xdr:to>
      <xdr:col>10</xdr:col>
      <xdr:colOff>173567</xdr:colOff>
      <xdr:row>60</xdr:row>
      <xdr:rowOff>93134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7</xdr:row>
      <xdr:rowOff>143934</xdr:rowOff>
    </xdr:from>
    <xdr:to>
      <xdr:col>10</xdr:col>
      <xdr:colOff>160867</xdr:colOff>
      <xdr:row>33</xdr:row>
      <xdr:rowOff>182033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B1" zoomScale="65" zoomScaleNormal="65" workbookViewId="0">
      <selection activeCell="K29" sqref="K29"/>
    </sheetView>
  </sheetViews>
  <sheetFormatPr defaultColWidth="11.19921875" defaultRowHeight="15.6" x14ac:dyDescent="0.3"/>
  <cols>
    <col min="1" max="1" width="20.796875" bestFit="1" customWidth="1"/>
  </cols>
  <sheetData>
    <row r="1" spans="1:12" x14ac:dyDescent="0.3">
      <c r="A1" s="1"/>
      <c r="B1" s="2">
        <f t="shared" ref="B1:J1" si="0">C1-1</f>
        <v>2010</v>
      </c>
      <c r="C1" s="2">
        <f t="shared" si="0"/>
        <v>2011</v>
      </c>
      <c r="D1" s="2">
        <f t="shared" si="0"/>
        <v>2012</v>
      </c>
      <c r="E1" s="2">
        <f t="shared" si="0"/>
        <v>2013</v>
      </c>
      <c r="F1" s="2">
        <f t="shared" si="0"/>
        <v>2014</v>
      </c>
      <c r="G1" s="2">
        <f t="shared" si="0"/>
        <v>2015</v>
      </c>
      <c r="H1" s="2">
        <f t="shared" si="0"/>
        <v>2016</v>
      </c>
      <c r="I1" s="2">
        <f t="shared" si="0"/>
        <v>2017</v>
      </c>
      <c r="J1" s="2">
        <f t="shared" si="0"/>
        <v>2018</v>
      </c>
      <c r="K1" s="2">
        <f>L1-1</f>
        <v>2019</v>
      </c>
      <c r="L1" s="2">
        <v>2020</v>
      </c>
    </row>
    <row r="2" spans="1:12" x14ac:dyDescent="0.3">
      <c r="A2" s="2" t="s">
        <v>0</v>
      </c>
      <c r="B2" s="3">
        <v>850750</v>
      </c>
      <c r="C2" s="3">
        <v>910302.5</v>
      </c>
      <c r="D2" s="3">
        <v>1037744.8500000001</v>
      </c>
      <c r="E2" s="3">
        <v>1100009.5410000002</v>
      </c>
      <c r="F2" s="3">
        <v>1221010.5905100002</v>
      </c>
      <c r="G2" s="3">
        <v>1306481.3318457003</v>
      </c>
      <c r="H2" s="3">
        <v>1384870.2117564424</v>
      </c>
      <c r="I2" s="3">
        <v>1592600.7435199087</v>
      </c>
      <c r="J2" s="3">
        <v>1735934.8104367007</v>
      </c>
      <c r="K2" s="3">
        <v>1944246.9876891049</v>
      </c>
      <c r="L2" s="3">
        <v>2158114.1563349068</v>
      </c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2" t="s">
        <v>1</v>
      </c>
      <c r="B4" s="4">
        <f>-0.38*B2</f>
        <v>-323285</v>
      </c>
      <c r="C4" s="4">
        <f ca="1">-RANDBETWEEN(28,36)/100*C2</f>
        <v>-263987.72499999998</v>
      </c>
      <c r="D4" s="4">
        <f t="shared" ref="D4:L4" ca="1" si="1">-RANDBETWEEN(28,36)/100*D2</f>
        <v>-300946.00650000002</v>
      </c>
      <c r="E4" s="4">
        <f t="shared" ca="1" si="1"/>
        <v>-396003.43476000003</v>
      </c>
      <c r="F4" s="4">
        <f t="shared" ca="1" si="1"/>
        <v>-390723.38896320009</v>
      </c>
      <c r="G4" s="4">
        <f t="shared" ca="1" si="1"/>
        <v>-470333.27946445206</v>
      </c>
      <c r="H4" s="4">
        <f t="shared" ca="1" si="1"/>
        <v>-457007.16987962602</v>
      </c>
      <c r="I4" s="4">
        <f t="shared" ca="1" si="1"/>
        <v>-461854.2156207735</v>
      </c>
      <c r="J4" s="4">
        <f t="shared" ca="1" si="1"/>
        <v>-607577.18365284521</v>
      </c>
      <c r="K4" s="4">
        <f t="shared" ca="1" si="1"/>
        <v>-602716.56618362246</v>
      </c>
      <c r="L4" s="4">
        <f t="shared" ca="1" si="1"/>
        <v>-755339.95471721736</v>
      </c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2" t="s">
        <v>2</v>
      </c>
      <c r="B6" s="5">
        <f>B2+B4</f>
        <v>527465</v>
      </c>
      <c r="C6" s="5">
        <f t="shared" ref="C6:L6" ca="1" si="2">C2+C4</f>
        <v>646314.77500000002</v>
      </c>
      <c r="D6" s="5">
        <f t="shared" ca="1" si="2"/>
        <v>736798.84350000008</v>
      </c>
      <c r="E6" s="5">
        <f t="shared" ca="1" si="2"/>
        <v>704006.10624000011</v>
      </c>
      <c r="F6" s="5">
        <f t="shared" ca="1" si="2"/>
        <v>830287.20154680009</v>
      </c>
      <c r="G6" s="5">
        <f t="shared" ca="1" si="2"/>
        <v>836148.05238124821</v>
      </c>
      <c r="H6" s="5">
        <f t="shared" ca="1" si="2"/>
        <v>927863.04187681642</v>
      </c>
      <c r="I6" s="5">
        <f t="shared" ca="1" si="2"/>
        <v>1130746.5278991354</v>
      </c>
      <c r="J6" s="5">
        <f t="shared" ca="1" si="2"/>
        <v>1128357.6267838555</v>
      </c>
      <c r="K6" s="5">
        <f t="shared" ca="1" si="2"/>
        <v>1341530.4215054824</v>
      </c>
      <c r="L6" s="5">
        <f t="shared" ca="1" si="2"/>
        <v>1402774.2016176893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zoomScale="150" zoomScaleNormal="150" workbookViewId="0">
      <selection activeCell="K57" sqref="K57"/>
    </sheetView>
  </sheetViews>
  <sheetFormatPr defaultColWidth="8.796875" defaultRowHeight="14.4" x14ac:dyDescent="0.3"/>
  <cols>
    <col min="1" max="1" width="17.796875" style="1" bestFit="1" customWidth="1"/>
    <col min="2" max="2" width="14.296875" style="1" bestFit="1" customWidth="1"/>
    <col min="3" max="12" width="13.296875" style="1" bestFit="1" customWidth="1"/>
    <col min="13" max="16384" width="8.796875" style="1"/>
  </cols>
  <sheetData>
    <row r="1" spans="1:12" x14ac:dyDescent="0.3">
      <c r="B1" s="2">
        <f t="shared" ref="B1:J1" si="0">C1-1</f>
        <v>2010</v>
      </c>
      <c r="C1" s="2">
        <f t="shared" si="0"/>
        <v>2011</v>
      </c>
      <c r="D1" s="2">
        <f t="shared" si="0"/>
        <v>2012</v>
      </c>
      <c r="E1" s="2">
        <f t="shared" si="0"/>
        <v>2013</v>
      </c>
      <c r="F1" s="2">
        <f t="shared" si="0"/>
        <v>2014</v>
      </c>
      <c r="G1" s="2">
        <f t="shared" si="0"/>
        <v>2015</v>
      </c>
      <c r="H1" s="2">
        <f t="shared" si="0"/>
        <v>2016</v>
      </c>
      <c r="I1" s="2">
        <f t="shared" si="0"/>
        <v>2017</v>
      </c>
      <c r="J1" s="2">
        <f t="shared" si="0"/>
        <v>2018</v>
      </c>
      <c r="K1" s="2">
        <f>L1-1</f>
        <v>2019</v>
      </c>
      <c r="L1" s="2">
        <v>2020</v>
      </c>
    </row>
    <row r="2" spans="1:12" ht="15.6" x14ac:dyDescent="0.3">
      <c r="A2" s="2" t="s">
        <v>0</v>
      </c>
      <c r="B2" s="3">
        <v>850750</v>
      </c>
      <c r="C2" s="3">
        <v>910302.5</v>
      </c>
      <c r="D2" s="3">
        <v>1037744.8500000001</v>
      </c>
      <c r="E2" s="3">
        <v>1100009.5410000002</v>
      </c>
      <c r="F2" s="3">
        <v>1221010.5905100002</v>
      </c>
      <c r="G2" s="3">
        <v>1306481.3318457003</v>
      </c>
      <c r="H2" s="3">
        <v>1384870.2117564424</v>
      </c>
      <c r="I2" s="3">
        <v>1592600.7435199087</v>
      </c>
      <c r="J2" s="3">
        <v>1735934.8104367007</v>
      </c>
      <c r="K2" s="3">
        <v>1944246.9876891049</v>
      </c>
      <c r="L2" s="3">
        <v>2158114.1563349068</v>
      </c>
    </row>
    <row r="4" spans="1:12" ht="15.6" x14ac:dyDescent="0.3">
      <c r="A4" s="2" t="s">
        <v>1</v>
      </c>
      <c r="B4" s="4">
        <f>-0.38*B2</f>
        <v>-323285</v>
      </c>
      <c r="C4" s="4">
        <f ca="1">-RANDBETWEEN(28,36)/100*C2</f>
        <v>-300399.82500000001</v>
      </c>
      <c r="D4" s="4">
        <f t="shared" ref="D4:L4" ca="1" si="1">-RANDBETWEEN(28,36)/100*D2</f>
        <v>-342455.80050000007</v>
      </c>
      <c r="E4" s="4">
        <f t="shared" ca="1" si="1"/>
        <v>-308002.67148000008</v>
      </c>
      <c r="F4" s="4">
        <f t="shared" ca="1" si="1"/>
        <v>-341882.96534280007</v>
      </c>
      <c r="G4" s="4">
        <f t="shared" ca="1" si="1"/>
        <v>-444203.65282753814</v>
      </c>
      <c r="H4" s="4">
        <f t="shared" ca="1" si="1"/>
        <v>-484704.5741147548</v>
      </c>
      <c r="I4" s="4">
        <f t="shared" ca="1" si="1"/>
        <v>-557410.26023196802</v>
      </c>
      <c r="J4" s="4">
        <f t="shared" ca="1" si="1"/>
        <v>-538139.7912353772</v>
      </c>
      <c r="K4" s="4">
        <f t="shared" ca="1" si="1"/>
        <v>-680486.4456911867</v>
      </c>
      <c r="L4" s="4">
        <f t="shared" ca="1" si="1"/>
        <v>-669015.38846382115</v>
      </c>
    </row>
    <row r="6" spans="1:12" x14ac:dyDescent="0.3">
      <c r="A6" s="2" t="s">
        <v>2</v>
      </c>
      <c r="B6" s="5">
        <f>B2+B4</f>
        <v>527465</v>
      </c>
      <c r="C6" s="5">
        <f t="shared" ref="C6:L6" ca="1" si="2">C2+C4</f>
        <v>609902.67500000005</v>
      </c>
      <c r="D6" s="5">
        <f t="shared" ca="1" si="2"/>
        <v>695289.04949999996</v>
      </c>
      <c r="E6" s="5">
        <f t="shared" ca="1" si="2"/>
        <v>792006.86952000018</v>
      </c>
      <c r="F6" s="5">
        <f t="shared" ca="1" si="2"/>
        <v>879127.62516720011</v>
      </c>
      <c r="G6" s="5">
        <f t="shared" ca="1" si="2"/>
        <v>862277.67901816219</v>
      </c>
      <c r="H6" s="5">
        <f t="shared" ca="1" si="2"/>
        <v>900165.63764168764</v>
      </c>
      <c r="I6" s="5">
        <f t="shared" ca="1" si="2"/>
        <v>1035190.4832879407</v>
      </c>
      <c r="J6" s="5">
        <f t="shared" ca="1" si="2"/>
        <v>1197795.0192013234</v>
      </c>
      <c r="K6" s="5">
        <f t="shared" ca="1" si="2"/>
        <v>1263760.5419979182</v>
      </c>
      <c r="L6" s="5">
        <f t="shared" ca="1" si="2"/>
        <v>1489098.7678710856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Clustered Column Data</vt:lpstr>
      <vt:lpstr>Clustered Column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2017-10-29T06:47:46Z</dcterms:created>
  <dcterms:modified xsi:type="dcterms:W3CDTF">2026-01-26T14:12:56Z</dcterms:modified>
</cp:coreProperties>
</file>