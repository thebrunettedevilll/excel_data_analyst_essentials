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24" documentId="11_68046C1EE6025F57FB5505B703961F199D2F21CB" xr6:coauthVersionLast="47" xr6:coauthVersionMax="47" xr10:uidLastSave="{570D0972-88A8-4274-8092-AB0B2B4D24DF}"/>
  <bookViews>
    <workbookView xWindow="-96" yWindow="0" windowWidth="11712" windowHeight="12336" tabRatio="500" firstSheet="1" activeTab="1" xr2:uid="{00000000-000D-0000-FFFF-FFFF00000000}"/>
  </bookViews>
  <sheets>
    <sheet name="Waterfall - Chart" sheetId="3" r:id="rId1"/>
    <sheet name="Waterfall - Data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F13" i="1"/>
  <c r="C13" i="1"/>
  <c r="J12" i="1"/>
  <c r="I12" i="1"/>
  <c r="G12" i="1"/>
  <c r="H12" i="1"/>
  <c r="E12" i="1"/>
  <c r="J11" i="1"/>
  <c r="I11" i="1"/>
  <c r="G11" i="1"/>
  <c r="H11" i="1"/>
  <c r="E11" i="1"/>
  <c r="J10" i="1"/>
  <c r="I10" i="1"/>
  <c r="G10" i="1"/>
  <c r="H10" i="1"/>
  <c r="E10" i="1"/>
  <c r="J9" i="1"/>
  <c r="I9" i="1"/>
  <c r="G9" i="1"/>
  <c r="H9" i="1"/>
  <c r="E9" i="1"/>
  <c r="J8" i="1"/>
  <c r="I8" i="1"/>
  <c r="G8" i="1"/>
  <c r="H8" i="1"/>
  <c r="E8" i="1"/>
  <c r="J7" i="1"/>
  <c r="I7" i="1"/>
  <c r="G7" i="1"/>
  <c r="H7" i="1"/>
  <c r="E7" i="1"/>
  <c r="J6" i="1"/>
  <c r="I6" i="1"/>
  <c r="G6" i="1"/>
  <c r="H6" i="1"/>
  <c r="E6" i="1"/>
  <c r="J5" i="1"/>
  <c r="I5" i="1"/>
  <c r="G5" i="1"/>
  <c r="H5" i="1"/>
  <c r="E5" i="1"/>
  <c r="F4" i="1"/>
  <c r="K4" i="3"/>
  <c r="K5" i="3"/>
  <c r="K6" i="3"/>
  <c r="K7" i="3"/>
  <c r="K8" i="3"/>
  <c r="K9" i="3"/>
  <c r="K10" i="3"/>
  <c r="K11" i="3"/>
  <c r="K12" i="3"/>
  <c r="K13" i="3"/>
  <c r="F13" i="3"/>
  <c r="C13" i="3"/>
  <c r="J12" i="3"/>
  <c r="I12" i="3"/>
  <c r="G12" i="3"/>
  <c r="H12" i="3"/>
  <c r="E12" i="3"/>
  <c r="J11" i="3"/>
  <c r="I11" i="3"/>
  <c r="G11" i="3"/>
  <c r="H11" i="3"/>
  <c r="E11" i="3"/>
  <c r="J10" i="3"/>
  <c r="I10" i="3"/>
  <c r="G10" i="3"/>
  <c r="H10" i="3"/>
  <c r="E10" i="3"/>
  <c r="J9" i="3"/>
  <c r="I9" i="3"/>
  <c r="G9" i="3"/>
  <c r="H9" i="3"/>
  <c r="E9" i="3"/>
  <c r="J8" i="3"/>
  <c r="I8" i="3"/>
  <c r="G8" i="3"/>
  <c r="H8" i="3"/>
  <c r="E8" i="3"/>
  <c r="J7" i="3"/>
  <c r="I7" i="3"/>
  <c r="G7" i="3"/>
  <c r="H7" i="3"/>
  <c r="E7" i="3"/>
  <c r="J6" i="3"/>
  <c r="I6" i="3"/>
  <c r="G6" i="3"/>
  <c r="H6" i="3"/>
  <c r="E6" i="3"/>
  <c r="J5" i="3"/>
  <c r="I5" i="3"/>
  <c r="G5" i="3"/>
  <c r="H5" i="3"/>
  <c r="E5" i="3"/>
  <c r="F4" i="3"/>
</calcChain>
</file>

<file path=xl/sharedStrings.xml><?xml version="1.0" encoding="utf-8"?>
<sst xmlns="http://schemas.openxmlformats.org/spreadsheetml/2006/main" count="38" uniqueCount="13">
  <si>
    <t>Padding</t>
  </si>
  <si>
    <t>Plot up</t>
  </si>
  <si>
    <t>Plot down</t>
  </si>
  <si>
    <t>Crossover down</t>
  </si>
  <si>
    <t>Crossover up</t>
  </si>
  <si>
    <t>Cumulative</t>
  </si>
  <si>
    <t>Labels</t>
  </si>
  <si>
    <t>Values</t>
  </si>
  <si>
    <t>Start</t>
  </si>
  <si>
    <t>Up</t>
  </si>
  <si>
    <t>Down</t>
  </si>
  <si>
    <t>End</t>
  </si>
  <si>
    <t>Begin/End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</si>
</sst>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22"/>
      </left>
      <right style="thin">
        <color indexed="23"/>
      </right>
      <top style="hair">
        <color indexed="22"/>
      </top>
      <bottom style="thin">
        <color indexed="23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0" xfId="0" applyFont="1"/>
    <xf numFmtId="164" fontId="0" fillId="3" borderId="3" xfId="0" applyNumberFormat="1" applyFill="1" applyBorder="1" applyProtection="1">
      <protection locked="0"/>
    </xf>
    <xf numFmtId="0" fontId="0" fillId="0" borderId="0" xfId="0" quotePrefix="1"/>
    <xf numFmtId="0" fontId="6" fillId="4" borderId="2" xfId="3" applyFont="1" applyFill="1"/>
    <xf numFmtId="164" fontId="2" fillId="4" borderId="2" xfId="3" applyNumberFormat="1" applyFill="1" applyProtection="1">
      <protection locked="0"/>
    </xf>
    <xf numFmtId="0" fontId="2" fillId="4" borderId="2" xfId="3" applyFill="1"/>
    <xf numFmtId="0" fontId="7" fillId="5" borderId="1" xfId="2" applyFont="1" applyFill="1"/>
    <xf numFmtId="165" fontId="4" fillId="0" borderId="2" xfId="1" applyNumberFormat="1" applyFont="1" applyFill="1" applyBorder="1" applyAlignment="1">
      <alignment horizontal="center"/>
    </xf>
    <xf numFmtId="0" fontId="7" fillId="5" borderId="1" xfId="2" applyFont="1" applyFill="1" applyAlignment="1">
      <alignment horizontal="center"/>
    </xf>
    <xf numFmtId="0" fontId="8" fillId="5" borderId="0" xfId="4" applyFont="1" applyFill="1" applyAlignment="1">
      <alignment horizontal="center"/>
    </xf>
  </cellXfs>
  <cellStyles count="5">
    <cellStyle name="Comma" xfId="1" builtinId="3"/>
    <cellStyle name="Explanatory Text" xfId="4" builtinId="53"/>
    <cellStyle name="Heading 3" xfId="2" builtinId="18"/>
    <cellStyle name="Input" xfId="3" builtinId="20"/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9" defaultPivotStyle="PivotStyleMedium7"/>
  <colors>
    <mruColors>
      <color rgb="FF000000"/>
      <color rgb="FFDD1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Waterfall Chart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895787279472497E-2"/>
          <c:y val="0.10342582177227801"/>
          <c:w val="0.88098540301039796"/>
          <c:h val="0.64820709911261098"/>
        </c:manualLayout>
      </c:layout>
      <c:barChart>
        <c:barDir val="col"/>
        <c:grouping val="stacked"/>
        <c:varyColors val="0"/>
        <c:ser>
          <c:idx val="0"/>
          <c:order val="0"/>
          <c:tx>
            <c:v>Pillars</c:v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5000</c:v>
              </c:pt>
              <c:pt idx="1">
                <c:v>#N/A</c:v>
              </c:pt>
              <c:pt idx="2">
                <c:v>#N/A</c:v>
              </c:pt>
              <c:pt idx="3">
                <c:v>4500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1300</c:v>
              </c:pt>
            </c:numLit>
          </c:val>
          <c:extLst>
            <c:ext xmlns:c16="http://schemas.microsoft.com/office/drawing/2014/chart" uri="{C3380CC4-5D6E-409C-BE32-E72D297353CC}">
              <c16:uniqueId val="{00000000-03F7-44B3-A9DE-28CA0648A602}"/>
            </c:ext>
          </c:extLst>
        </c:ser>
        <c:ser>
          <c:idx val="1"/>
          <c:order val="1"/>
          <c:tx>
            <c:v>Invisible</c:v>
          </c:tx>
          <c:spPr>
            <a:noFill/>
            <a:ln>
              <a:noFill/>
            </a:ln>
          </c:spPr>
          <c:invertIfNegative val="0"/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5700</c:v>
              </c:pt>
              <c:pt idx="2">
                <c:v>5700</c:v>
              </c:pt>
              <c:pt idx="3">
                <c:v>#N/A</c:v>
              </c:pt>
              <c:pt idx="4">
                <c:v>4500</c:v>
              </c:pt>
              <c:pt idx="5">
                <c:v>2000</c:v>
              </c:pt>
              <c:pt idx="6">
                <c:v>700</c:v>
              </c:pt>
              <c:pt idx="7">
                <c:v>400</c:v>
              </c:pt>
              <c:pt idx="8">
                <c:v>0</c:v>
              </c:pt>
              <c:pt idx="9">
                <c:v>0</c:v>
              </c:pt>
              <c:pt idx="10">
                <c:v>1300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03F7-44B3-A9DE-28CA0648A602}"/>
            </c:ext>
          </c:extLst>
        </c:ser>
        <c:ser>
          <c:idx val="5"/>
          <c:order val="2"/>
          <c:tx>
            <c:v>Delta+</c:v>
          </c:tx>
          <c:spPr>
            <a:noFill/>
            <a:ln w="28575">
              <a:noFill/>
            </a:ln>
          </c:spPr>
          <c:invertIfNegative val="0"/>
          <c:dLbls>
            <c:numFmt formatCode="\+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2"/>
              <c:pt idx="0">
                <c:v>#N/A</c:v>
              </c:pt>
              <c:pt idx="1">
                <c:v>700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900</c:v>
              </c:pt>
              <c:pt idx="10">
                <c:v>1500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03F7-44B3-A9DE-28CA0648A602}"/>
            </c:ext>
          </c:extLst>
        </c:ser>
        <c:ser>
          <c:idx val="6"/>
          <c:order val="3"/>
          <c:tx>
            <c:v>Delta-</c:v>
          </c:tx>
          <c:spPr>
            <a:noFill/>
            <a:ln w="28575">
              <a:noFill/>
            </a:ln>
          </c:spPr>
          <c:invertIfNegative val="0"/>
          <c:dLbls>
            <c:numFmt formatCode="\-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1200</c:v>
              </c:pt>
              <c:pt idx="3">
                <c:v>#N/A</c:v>
              </c:pt>
              <c:pt idx="4">
                <c:v>2500</c:v>
              </c:pt>
              <c:pt idx="5">
                <c:v>1300</c:v>
              </c:pt>
              <c:pt idx="6">
                <c:v>300</c:v>
              </c:pt>
              <c:pt idx="7">
                <c:v>900</c:v>
              </c:pt>
              <c:pt idx="8">
                <c:v>600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3-03F7-44B3-A9DE-28CA0648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40789360"/>
        <c:axId val="-1257980160"/>
      </c:barChart>
      <c:lineChart>
        <c:grouping val="standard"/>
        <c:varyColors val="0"/>
        <c:ser>
          <c:idx val="2"/>
          <c:order val="4"/>
          <c:tx>
            <c:v>Base+</c:v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2"/>
                <c:pt idx="0">
                  <c:v>#N/A</c:v>
                </c:pt>
                <c:pt idx="1">
                  <c:v>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900</c:v>
                </c:pt>
                <c:pt idx="10">
                  <c:v>1500</c:v>
                </c:pt>
                <c:pt idx="11">
                  <c:v>#N/A</c:v>
                </c:pt>
              </c:numLit>
            </c:minus>
            <c:spPr>
              <a:ln w="317500">
                <a:solidFill>
                  <a:schemeClr val="accent3"/>
                </a:solidFill>
              </a:ln>
            </c:spPr>
          </c:errBar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5700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-200</c:v>
              </c:pt>
              <c:pt idx="10">
                <c:v>1300</c:v>
              </c:pt>
              <c:pt idx="1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3F7-44B3-A9DE-28CA0648A602}"/>
            </c:ext>
          </c:extLst>
        </c:ser>
        <c:ser>
          <c:idx val="3"/>
          <c:order val="5"/>
          <c:tx>
            <c:v>Base-</c:v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1200</c:v>
                </c:pt>
                <c:pt idx="3">
                  <c:v>#N/A</c:v>
                </c:pt>
                <c:pt idx="4">
                  <c:v>2500</c:v>
                </c:pt>
                <c:pt idx="5">
                  <c:v>1300</c:v>
                </c:pt>
                <c:pt idx="6">
                  <c:v>300</c:v>
                </c:pt>
                <c:pt idx="7">
                  <c:v>900</c:v>
                </c:pt>
                <c:pt idx="8">
                  <c:v>600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ln w="317500">
                <a:solidFill>
                  <a:schemeClr val="accent4"/>
                </a:solidFill>
              </a:ln>
            </c:spPr>
          </c:errBar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4500</c:v>
              </c:pt>
              <c:pt idx="3">
                <c:v>#N/A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3F7-44B3-A9DE-28CA0648A602}"/>
            </c:ext>
          </c:extLst>
        </c:ser>
        <c:ser>
          <c:idx val="7"/>
          <c:order val="7"/>
          <c:tx>
            <c:v>Flow</c:v>
          </c:tx>
          <c:spPr>
            <a:ln>
              <a:noFill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5000</c:v>
              </c:pt>
              <c:pt idx="1">
                <c:v>5700</c:v>
              </c:pt>
              <c:pt idx="2">
                <c:v>4500</c:v>
              </c:pt>
              <c:pt idx="3">
                <c:v>4500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-200</c:v>
              </c:pt>
              <c:pt idx="10">
                <c:v>1300</c:v>
              </c:pt>
              <c:pt idx="11">
                <c:v>1300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03F7-44B3-A9DE-28CA0648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0789360"/>
        <c:axId val="-1257980160"/>
      </c:lineChart>
      <c:scatterChart>
        <c:scatterStyle val="lineMarker"/>
        <c:varyColors val="0"/>
        <c:ser>
          <c:idx val="4"/>
          <c:order val="6"/>
          <c:tx>
            <c:v>Lines</c:v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chemeClr val="tx1"/>
                </a:solidFill>
                <a:prstDash val="dash"/>
              </a:ln>
            </c:spPr>
          </c:errBars>
          <c:yVal>
            <c:numLit>
              <c:formatCode>General</c:formatCode>
              <c:ptCount val="12"/>
              <c:pt idx="0">
                <c:v>5000</c:v>
              </c:pt>
              <c:pt idx="1">
                <c:v>5700</c:v>
              </c:pt>
              <c:pt idx="2">
                <c:v>4500</c:v>
              </c:pt>
              <c:pt idx="3">
                <c:v>4500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-200</c:v>
              </c:pt>
              <c:pt idx="10">
                <c:v>1300</c:v>
              </c:pt>
              <c:pt idx="11">
                <c:v>#N/A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03F7-44B3-A9DE-28CA0648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40789360"/>
        <c:axId val="-1257980160"/>
      </c:scatterChart>
      <c:catAx>
        <c:axId val="-40789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25400"/>
        </c:spPr>
        <c:crossAx val="-1257980160"/>
        <c:crossesAt val="0"/>
        <c:auto val="1"/>
        <c:lblAlgn val="ctr"/>
        <c:lblOffset val="100"/>
        <c:noMultiLvlLbl val="0"/>
      </c:catAx>
      <c:valAx>
        <c:axId val="-1257980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4078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'Waterfall - Chart'!$E$2</c:f>
              <c:strCache>
                <c:ptCount val="1"/>
                <c:pt idx="0">
                  <c:v>Padding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Chart'!$E$4:$E$13</c:f>
              <c:numCache>
                <c:formatCode>_(* #,##0_);_(* \(#,##0\);_(* "-"??_);_(@_)</c:formatCode>
                <c:ptCount val="10"/>
                <c:pt idx="1">
                  <c:v>350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75</c:v>
                </c:pt>
                <c:pt idx="7">
                  <c:v>25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2-4420-953A-A8DFB861E15F}"/>
            </c:ext>
          </c:extLst>
        </c:ser>
        <c:ser>
          <c:idx val="1"/>
          <c:order val="1"/>
          <c:tx>
            <c:strRef>
              <c:f>'Waterfall - Chart'!$G$2</c:f>
              <c:strCache>
                <c:ptCount val="1"/>
                <c:pt idx="0">
                  <c:v>Plot up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Chart'!$G$4:$G$13</c:f>
              <c:numCache>
                <c:formatCode>_(* #,##0_);_(* \(#,##0\);_(* "-"??_);_(@_)</c:formatCode>
                <c:ptCount val="10"/>
                <c:pt idx="1">
                  <c:v>100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150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2-4420-953A-A8DFB861E15F}"/>
            </c:ext>
          </c:extLst>
        </c:ser>
        <c:ser>
          <c:idx val="2"/>
          <c:order val="2"/>
          <c:tx>
            <c:strRef>
              <c:f>'Waterfall - Chart'!$I$2</c:f>
              <c:strCache>
                <c:ptCount val="1"/>
                <c:pt idx="0">
                  <c:v>Crossover down</c:v>
                </c:pt>
              </c:strCache>
            </c:strRef>
          </c:tx>
          <c:spPr>
            <a:solidFill>
              <a:srgbClr val="DD1F00"/>
            </a:solidFill>
            <a:ln>
              <a:noFill/>
            </a:ln>
            <a:effectLst/>
          </c:spPr>
          <c:invertIfNegative val="0"/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Chart'!$I$4:$I$13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2-4420-953A-A8DFB861E15F}"/>
            </c:ext>
          </c:extLst>
        </c:ser>
        <c:ser>
          <c:idx val="3"/>
          <c:order val="3"/>
          <c:tx>
            <c:strRef>
              <c:f>'Waterfall - Chart'!$F$2</c:f>
              <c:strCache>
                <c:ptCount val="1"/>
                <c:pt idx="0">
                  <c:v>Begin/End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Chart'!$F$4:$F$13</c:f>
              <c:numCache>
                <c:formatCode>_(* #,##0_);_(* \(#,##0\);_(* "-"??_);_(@_)</c:formatCode>
                <c:ptCount val="10"/>
                <c:pt idx="0">
                  <c:v>350</c:v>
                </c:pt>
                <c:pt idx="9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2-4420-953A-A8DFB861E15F}"/>
            </c:ext>
          </c:extLst>
        </c:ser>
        <c:ser>
          <c:idx val="4"/>
          <c:order val="4"/>
          <c:tx>
            <c:strRef>
              <c:f>'Waterfall - Chart'!$H$2</c:f>
              <c:strCache>
                <c:ptCount val="1"/>
                <c:pt idx="0">
                  <c:v>Plot down</c:v>
                </c:pt>
              </c:strCache>
            </c:strRef>
          </c:tx>
          <c:spPr>
            <a:solidFill>
              <a:srgbClr val="DD1F00"/>
            </a:solidFill>
            <a:ln>
              <a:noFill/>
            </a:ln>
            <a:effectLst/>
          </c:spPr>
          <c:invertIfNegative val="0"/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Chart'!$H$4:$H$13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150</c:v>
                </c:pt>
                <c:pt idx="3">
                  <c:v>0</c:v>
                </c:pt>
                <c:pt idx="4">
                  <c:v>-150</c:v>
                </c:pt>
                <c:pt idx="5">
                  <c:v>0</c:v>
                </c:pt>
                <c:pt idx="6">
                  <c:v>75</c:v>
                </c:pt>
                <c:pt idx="7">
                  <c:v>50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2-4420-953A-A8DFB861E15F}"/>
            </c:ext>
          </c:extLst>
        </c:ser>
        <c:ser>
          <c:idx val="5"/>
          <c:order val="5"/>
          <c:tx>
            <c:strRef>
              <c:f>'Waterfall - Chart'!$J$2</c:f>
              <c:strCache>
                <c:ptCount val="1"/>
                <c:pt idx="0">
                  <c:v>Crossover up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Chart'!$J$4:$J$13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72-4420-953A-A8DFB861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-1277467728"/>
        <c:axId val="-1258127344"/>
      </c:barChart>
      <c:lineChart>
        <c:grouping val="standard"/>
        <c:varyColors val="0"/>
        <c:ser>
          <c:idx val="6"/>
          <c:order val="6"/>
          <c:tx>
            <c:strRef>
              <c:f>'Waterfall - Chart'!$K$2</c:f>
              <c:strCache>
                <c:ptCount val="1"/>
                <c:pt idx="0">
                  <c:v>Cumulative</c:v>
                </c:pt>
              </c:strCache>
            </c:strRef>
          </c:tx>
          <c:spPr>
            <a:ln w="12700" cap="sq">
              <a:solidFill>
                <a:schemeClr val="bg2">
                  <a:lumMod val="50000"/>
                  <a:alpha val="69000"/>
                </a:schemeClr>
              </a:solidFill>
              <a:prstDash val="sysDash"/>
              <a:bevel/>
              <a:tailEnd w="lg" len="lg"/>
            </a:ln>
            <a:effectLst/>
          </c:spPr>
          <c:marker>
            <c:symbol val="dash"/>
            <c:size val="12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strRef>
              <c:f>'Waterfall - Chart'!$B$4:$B$13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Chart'!$K$4:$K$13</c:f>
              <c:numCache>
                <c:formatCode>_(* #,##0_);_(* \(#,##0\);_(* "-"??_);_(@_)</c:formatCode>
                <c:ptCount val="10"/>
                <c:pt idx="0">
                  <c:v>350</c:v>
                </c:pt>
                <c:pt idx="1">
                  <c:v>450</c:v>
                </c:pt>
                <c:pt idx="2">
                  <c:v>300</c:v>
                </c:pt>
                <c:pt idx="3">
                  <c:v>350</c:v>
                </c:pt>
                <c:pt idx="4">
                  <c:v>-150</c:v>
                </c:pt>
                <c:pt idx="5">
                  <c:v>150</c:v>
                </c:pt>
                <c:pt idx="6">
                  <c:v>75</c:v>
                </c:pt>
                <c:pt idx="7">
                  <c:v>25</c:v>
                </c:pt>
                <c:pt idx="8">
                  <c:v>225</c:v>
                </c:pt>
                <c:pt idx="9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72-4420-953A-A8DFB861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77467728"/>
        <c:axId val="-1258127344"/>
      </c:lineChart>
      <c:catAx>
        <c:axId val="-12774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58127344"/>
        <c:crosses val="autoZero"/>
        <c:auto val="1"/>
        <c:lblAlgn val="ctr"/>
        <c:lblOffset val="100"/>
        <c:noMultiLvlLbl val="0"/>
      </c:catAx>
      <c:valAx>
        <c:axId val="-12581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774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Waterfall Chart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895787279472497E-2"/>
          <c:y val="0.10342582177227801"/>
          <c:w val="0.88098540301039796"/>
          <c:h val="0.64820709911261098"/>
        </c:manualLayout>
      </c:layout>
      <c:barChart>
        <c:barDir val="col"/>
        <c:grouping val="stacked"/>
        <c:varyColors val="0"/>
        <c:ser>
          <c:idx val="0"/>
          <c:order val="0"/>
          <c:tx>
            <c:v>Pillars</c:v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5000</c:v>
              </c:pt>
              <c:pt idx="1">
                <c:v>#N/A</c:v>
              </c:pt>
              <c:pt idx="2">
                <c:v>#N/A</c:v>
              </c:pt>
              <c:pt idx="3">
                <c:v>4500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1300</c:v>
              </c:pt>
            </c:numLit>
          </c:val>
          <c:extLst>
            <c:ext xmlns:c16="http://schemas.microsoft.com/office/drawing/2014/chart" uri="{C3380CC4-5D6E-409C-BE32-E72D297353CC}">
              <c16:uniqueId val="{00000000-53D1-4826-B1A8-CF5AF7BCC275}"/>
            </c:ext>
          </c:extLst>
        </c:ser>
        <c:ser>
          <c:idx val="1"/>
          <c:order val="1"/>
          <c:tx>
            <c:v>Invisible</c:v>
          </c:tx>
          <c:spPr>
            <a:noFill/>
            <a:ln>
              <a:noFill/>
            </a:ln>
          </c:spPr>
          <c:invertIfNegative val="0"/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5700</c:v>
              </c:pt>
              <c:pt idx="2">
                <c:v>5700</c:v>
              </c:pt>
              <c:pt idx="3">
                <c:v>#N/A</c:v>
              </c:pt>
              <c:pt idx="4">
                <c:v>4500</c:v>
              </c:pt>
              <c:pt idx="5">
                <c:v>2000</c:v>
              </c:pt>
              <c:pt idx="6">
                <c:v>700</c:v>
              </c:pt>
              <c:pt idx="7">
                <c:v>400</c:v>
              </c:pt>
              <c:pt idx="8">
                <c:v>0</c:v>
              </c:pt>
              <c:pt idx="9">
                <c:v>0</c:v>
              </c:pt>
              <c:pt idx="10">
                <c:v>1300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53D1-4826-B1A8-CF5AF7BCC275}"/>
            </c:ext>
          </c:extLst>
        </c:ser>
        <c:ser>
          <c:idx val="5"/>
          <c:order val="2"/>
          <c:tx>
            <c:v>Delta+</c:v>
          </c:tx>
          <c:spPr>
            <a:noFill/>
            <a:ln w="28575">
              <a:noFill/>
            </a:ln>
          </c:spPr>
          <c:invertIfNegative val="0"/>
          <c:dLbls>
            <c:numFmt formatCode="\+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2"/>
              <c:pt idx="0">
                <c:v>#N/A</c:v>
              </c:pt>
              <c:pt idx="1">
                <c:v>700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900</c:v>
              </c:pt>
              <c:pt idx="10">
                <c:v>1500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53D1-4826-B1A8-CF5AF7BCC275}"/>
            </c:ext>
          </c:extLst>
        </c:ser>
        <c:ser>
          <c:idx val="6"/>
          <c:order val="3"/>
          <c:tx>
            <c:v>Delta-</c:v>
          </c:tx>
          <c:spPr>
            <a:noFill/>
            <a:ln w="28575">
              <a:noFill/>
            </a:ln>
          </c:spPr>
          <c:invertIfNegative val="0"/>
          <c:dLbls>
            <c:numFmt formatCode="\-#,##0;\-#,##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1200</c:v>
              </c:pt>
              <c:pt idx="3">
                <c:v>#N/A</c:v>
              </c:pt>
              <c:pt idx="4">
                <c:v>2500</c:v>
              </c:pt>
              <c:pt idx="5">
                <c:v>1300</c:v>
              </c:pt>
              <c:pt idx="6">
                <c:v>300</c:v>
              </c:pt>
              <c:pt idx="7">
                <c:v>900</c:v>
              </c:pt>
              <c:pt idx="8">
                <c:v>600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3-53D1-4826-B1A8-CF5AF7BC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240665248"/>
        <c:axId val="-1242507344"/>
      </c:barChart>
      <c:lineChart>
        <c:grouping val="standard"/>
        <c:varyColors val="0"/>
        <c:ser>
          <c:idx val="2"/>
          <c:order val="4"/>
          <c:tx>
            <c:v>Base+</c:v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2"/>
                <c:pt idx="0">
                  <c:v>#N/A</c:v>
                </c:pt>
                <c:pt idx="1">
                  <c:v>700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900</c:v>
                </c:pt>
                <c:pt idx="10">
                  <c:v>1500</c:v>
                </c:pt>
                <c:pt idx="11">
                  <c:v>#N/A</c:v>
                </c:pt>
              </c:numLit>
            </c:minus>
            <c:spPr>
              <a:ln w="317500">
                <a:solidFill>
                  <a:schemeClr val="accent3"/>
                </a:solidFill>
              </a:ln>
            </c:spPr>
          </c:errBar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5700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-200</c:v>
              </c:pt>
              <c:pt idx="10">
                <c:v>1300</c:v>
              </c:pt>
              <c:pt idx="1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3D1-4826-B1A8-CF5AF7BCC275}"/>
            </c:ext>
          </c:extLst>
        </c:ser>
        <c:ser>
          <c:idx val="3"/>
          <c:order val="5"/>
          <c:tx>
            <c:v>Base-</c:v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1200</c:v>
                </c:pt>
                <c:pt idx="3">
                  <c:v>#N/A</c:v>
                </c:pt>
                <c:pt idx="4">
                  <c:v>2500</c:v>
                </c:pt>
                <c:pt idx="5">
                  <c:v>1300</c:v>
                </c:pt>
                <c:pt idx="6">
                  <c:v>300</c:v>
                </c:pt>
                <c:pt idx="7">
                  <c:v>900</c:v>
                </c:pt>
                <c:pt idx="8">
                  <c:v>600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ln w="317500">
                <a:solidFill>
                  <a:schemeClr val="accent4"/>
                </a:solidFill>
              </a:ln>
            </c:spPr>
          </c:errBars>
          <c:cat>
            <c:strLit>
              <c:ptCount val="12"/>
              <c:pt idx="0">
                <c:v>START</c:v>
              </c:pt>
              <c:pt idx="1">
                <c:v>Delta 1</c:v>
              </c:pt>
              <c:pt idx="2">
                <c:v>Delta 2</c:v>
              </c:pt>
              <c:pt idx="3">
                <c:v>Middle Column</c:v>
              </c:pt>
              <c:pt idx="4">
                <c:v>Delta 3</c:v>
              </c:pt>
              <c:pt idx="5">
                <c:v>Delta 4</c:v>
              </c:pt>
              <c:pt idx="6">
                <c:v>Delta 5</c:v>
              </c:pt>
              <c:pt idx="7">
                <c:v>Delta 6</c:v>
              </c:pt>
              <c:pt idx="8">
                <c:v>Delta 7</c:v>
              </c:pt>
              <c:pt idx="9">
                <c:v>Delta 8</c:v>
              </c:pt>
              <c:pt idx="10">
                <c:v>Delta 9</c:v>
              </c:pt>
              <c:pt idx="11">
                <c:v>END</c:v>
              </c:pt>
            </c:strLit>
          </c:cat>
          <c:val>
            <c:numLit>
              <c:formatCode>General</c:formatCode>
              <c:ptCount val="12"/>
              <c:pt idx="0">
                <c:v>#N/A</c:v>
              </c:pt>
              <c:pt idx="1">
                <c:v>#N/A</c:v>
              </c:pt>
              <c:pt idx="2">
                <c:v>4500</c:v>
              </c:pt>
              <c:pt idx="3">
                <c:v>#N/A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53D1-4826-B1A8-CF5AF7BCC275}"/>
            </c:ext>
          </c:extLst>
        </c:ser>
        <c:ser>
          <c:idx val="7"/>
          <c:order val="7"/>
          <c:tx>
            <c:v>Flow</c:v>
          </c:tx>
          <c:spPr>
            <a:ln>
              <a:noFill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5000</c:v>
              </c:pt>
              <c:pt idx="1">
                <c:v>5700</c:v>
              </c:pt>
              <c:pt idx="2">
                <c:v>4500</c:v>
              </c:pt>
              <c:pt idx="3">
                <c:v>4500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-200</c:v>
              </c:pt>
              <c:pt idx="10">
                <c:v>1300</c:v>
              </c:pt>
              <c:pt idx="11">
                <c:v>1300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53D1-4826-B1A8-CF5AF7BC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40665248"/>
        <c:axId val="-1242507344"/>
      </c:lineChart>
      <c:scatterChart>
        <c:scatterStyle val="lineMarker"/>
        <c:varyColors val="0"/>
        <c:ser>
          <c:idx val="4"/>
          <c:order val="6"/>
          <c:tx>
            <c:v>Lines</c:v>
          </c:tx>
          <c:spPr>
            <a:ln w="28575">
              <a:noFill/>
            </a:ln>
          </c:spPr>
          <c:marker>
            <c:symbol val="none"/>
          </c:marker>
          <c:errBars>
            <c:errDir val="x"/>
            <c:errBarType val="plus"/>
            <c:errValType val="fixedVal"/>
            <c:noEndCap val="1"/>
            <c:val val="1"/>
            <c:spPr>
              <a:ln w="12700">
                <a:solidFill>
                  <a:schemeClr val="tx1"/>
                </a:solidFill>
                <a:prstDash val="dash"/>
              </a:ln>
            </c:spPr>
          </c:errBars>
          <c:yVal>
            <c:numLit>
              <c:formatCode>General</c:formatCode>
              <c:ptCount val="12"/>
              <c:pt idx="0">
                <c:v>5000</c:v>
              </c:pt>
              <c:pt idx="1">
                <c:v>5700</c:v>
              </c:pt>
              <c:pt idx="2">
                <c:v>4500</c:v>
              </c:pt>
              <c:pt idx="3">
                <c:v>4500</c:v>
              </c:pt>
              <c:pt idx="4">
                <c:v>2000</c:v>
              </c:pt>
              <c:pt idx="5">
                <c:v>700</c:v>
              </c:pt>
              <c:pt idx="6">
                <c:v>400</c:v>
              </c:pt>
              <c:pt idx="7">
                <c:v>-500</c:v>
              </c:pt>
              <c:pt idx="8">
                <c:v>-1100</c:v>
              </c:pt>
              <c:pt idx="9">
                <c:v>-200</c:v>
              </c:pt>
              <c:pt idx="10">
                <c:v>1300</c:v>
              </c:pt>
              <c:pt idx="11">
                <c:v>#N/A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53D1-4826-B1A8-CF5AF7BC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40665248"/>
        <c:axId val="-1242507344"/>
      </c:scatterChart>
      <c:catAx>
        <c:axId val="-1240665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25400"/>
        </c:spPr>
        <c:crossAx val="-1242507344"/>
        <c:crossesAt val="0"/>
        <c:auto val="1"/>
        <c:lblAlgn val="ctr"/>
        <c:lblOffset val="100"/>
        <c:noMultiLvlLbl val="0"/>
      </c:catAx>
      <c:valAx>
        <c:axId val="-1242507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1240665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'Waterfall - Data'!$E$2</c:f>
              <c:strCache>
                <c:ptCount val="1"/>
                <c:pt idx="0">
                  <c:v>Padding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Data'!$E$4:$E$13</c:f>
              <c:numCache>
                <c:formatCode>_(* #,##0_);_(* \(#,##0\);_(* "-"??_);_(@_)</c:formatCode>
                <c:ptCount val="10"/>
                <c:pt idx="1">
                  <c:v>350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75</c:v>
                </c:pt>
                <c:pt idx="7">
                  <c:v>25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F-49D4-BB18-DAC12F30D7C3}"/>
            </c:ext>
          </c:extLst>
        </c:ser>
        <c:ser>
          <c:idx val="1"/>
          <c:order val="1"/>
          <c:tx>
            <c:strRef>
              <c:f>'Waterfall - Data'!$G$2</c:f>
              <c:strCache>
                <c:ptCount val="1"/>
                <c:pt idx="0">
                  <c:v>Plot up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Data'!$G$4:$G$13</c:f>
              <c:numCache>
                <c:formatCode>_(* #,##0_);_(* \(#,##0\);_(* "-"??_);_(@_)</c:formatCode>
                <c:ptCount val="10"/>
                <c:pt idx="1">
                  <c:v>100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150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F-49D4-BB18-DAC12F30D7C3}"/>
            </c:ext>
          </c:extLst>
        </c:ser>
        <c:ser>
          <c:idx val="2"/>
          <c:order val="2"/>
          <c:tx>
            <c:strRef>
              <c:f>'Waterfall - Data'!$H$2</c:f>
              <c:strCache>
                <c:ptCount val="1"/>
                <c:pt idx="0">
                  <c:v>Plot down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Data'!$H$4:$H$13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150</c:v>
                </c:pt>
                <c:pt idx="3">
                  <c:v>0</c:v>
                </c:pt>
                <c:pt idx="4">
                  <c:v>-150</c:v>
                </c:pt>
                <c:pt idx="5">
                  <c:v>0</c:v>
                </c:pt>
                <c:pt idx="6">
                  <c:v>75</c:v>
                </c:pt>
                <c:pt idx="7">
                  <c:v>50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EF-49D4-BB18-DAC12F30D7C3}"/>
            </c:ext>
          </c:extLst>
        </c:ser>
        <c:ser>
          <c:idx val="3"/>
          <c:order val="3"/>
          <c:tx>
            <c:strRef>
              <c:f>'Waterfall - Data'!$I$2</c:f>
              <c:strCache>
                <c:ptCount val="1"/>
                <c:pt idx="0">
                  <c:v>Crossover down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Data'!$I$4:$I$13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EF-49D4-BB18-DAC12F30D7C3}"/>
            </c:ext>
          </c:extLst>
        </c:ser>
        <c:ser>
          <c:idx val="4"/>
          <c:order val="4"/>
          <c:tx>
            <c:strRef>
              <c:f>'Waterfall - Data'!$J$2</c:f>
              <c:strCache>
                <c:ptCount val="1"/>
                <c:pt idx="0">
                  <c:v>Crossover up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Data'!$J$4:$J$13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EF-49D4-BB18-DAC12F30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7066495"/>
        <c:axId val="1607069375"/>
      </c:barChart>
      <c:lineChart>
        <c:grouping val="stacked"/>
        <c:varyColors val="0"/>
        <c:ser>
          <c:idx val="5"/>
          <c:order val="5"/>
          <c:tx>
            <c:strRef>
              <c:f>'Waterfall - Data'!$K$2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0000"/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EBEF-49D4-BB18-DAC12F30D7C3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BEF-49D4-BB18-DAC12F30D7C3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EBEF-49D4-BB18-DAC12F30D7C3}"/>
              </c:ext>
            </c:extLst>
          </c:dPt>
          <c:dPt>
            <c:idx val="4"/>
            <c:marker>
              <c:symbol val="circle"/>
              <c:size val="10"/>
              <c:spPr>
                <a:solidFill>
                  <a:srgbClr val="000000">
                    <a:alpha val="99000"/>
                  </a:srgbClr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BEF-49D4-BB18-DAC12F30D7C3}"/>
              </c:ext>
            </c:extLst>
          </c:dPt>
          <c:dPt>
            <c:idx val="5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BEF-49D4-BB18-DAC12F30D7C3}"/>
              </c:ext>
            </c:extLst>
          </c:dPt>
          <c:dPt>
            <c:idx val="6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EBEF-49D4-BB18-DAC12F30D7C3}"/>
              </c:ext>
            </c:extLst>
          </c:dPt>
          <c:dPt>
            <c:idx val="7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EBEF-49D4-BB18-DAC12F30D7C3}"/>
              </c:ext>
            </c:extLst>
          </c:dPt>
          <c:dPt>
            <c:idx val="8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BEF-49D4-BB18-DAC12F30D7C3}"/>
              </c:ext>
            </c:extLst>
          </c:dPt>
          <c:dPt>
            <c:idx val="9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000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BEF-49D4-BB18-DAC12F30D7C3}"/>
              </c:ext>
            </c:extLst>
          </c:dPt>
          <c:cat>
            <c:strRef>
              <c:f>'Waterfall - Data'!$B$4:$B$13</c:f>
              <c:strCache>
                <c:ptCount val="10"/>
                <c:pt idx="0">
                  <c:v>Start</c:v>
                </c:pt>
                <c:pt idx="1">
                  <c:v>Up</c:v>
                </c:pt>
                <c:pt idx="2">
                  <c:v>Down</c:v>
                </c:pt>
                <c:pt idx="3">
                  <c:v>Up</c:v>
                </c:pt>
                <c:pt idx="4">
                  <c:v>Down</c:v>
                </c:pt>
                <c:pt idx="5">
                  <c:v>Up</c:v>
                </c:pt>
                <c:pt idx="6">
                  <c:v>Down</c:v>
                </c:pt>
                <c:pt idx="7">
                  <c:v>Down</c:v>
                </c:pt>
                <c:pt idx="8">
                  <c:v>Up</c:v>
                </c:pt>
                <c:pt idx="9">
                  <c:v>End</c:v>
                </c:pt>
              </c:strCache>
            </c:strRef>
          </c:cat>
          <c:val>
            <c:numRef>
              <c:f>'Waterfall - Data'!$K$4:$K$13</c:f>
              <c:numCache>
                <c:formatCode>_(* #,##0_);_(* \(#,##0\);_(* "-"??_);_(@_)</c:formatCode>
                <c:ptCount val="10"/>
                <c:pt idx="0">
                  <c:v>350</c:v>
                </c:pt>
                <c:pt idx="1">
                  <c:v>450</c:v>
                </c:pt>
                <c:pt idx="2">
                  <c:v>300</c:v>
                </c:pt>
                <c:pt idx="3">
                  <c:v>350</c:v>
                </c:pt>
                <c:pt idx="4">
                  <c:v>-150</c:v>
                </c:pt>
                <c:pt idx="5">
                  <c:v>150</c:v>
                </c:pt>
                <c:pt idx="6">
                  <c:v>75</c:v>
                </c:pt>
                <c:pt idx="7">
                  <c:v>25</c:v>
                </c:pt>
                <c:pt idx="8">
                  <c:v>225</c:v>
                </c:pt>
                <c:pt idx="9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EF-49D4-BB18-DAC12F30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066495"/>
        <c:axId val="1607069375"/>
      </c:lineChart>
      <c:catAx>
        <c:axId val="160706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7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69375"/>
        <c:crosses val="autoZero"/>
        <c:auto val="1"/>
        <c:lblAlgn val="ctr"/>
        <c:lblOffset val="100"/>
        <c:noMultiLvlLbl val="0"/>
      </c:catAx>
      <c:valAx>
        <c:axId val="16070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6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25</xdr:row>
      <xdr:rowOff>100754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821265</xdr:colOff>
      <xdr:row>14</xdr:row>
      <xdr:rowOff>93134</xdr:rowOff>
    </xdr:from>
    <xdr:to>
      <xdr:col>10</xdr:col>
      <xdr:colOff>973667</xdr:colOff>
      <xdr:row>38</xdr:row>
      <xdr:rowOff>186267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25</xdr:row>
      <xdr:rowOff>100754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958850</xdr:colOff>
      <xdr:row>14</xdr:row>
      <xdr:rowOff>146050</xdr:rowOff>
    </xdr:from>
    <xdr:to>
      <xdr:col>13</xdr:col>
      <xdr:colOff>177800</xdr:colOff>
      <xdr:row>41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3A956-2A23-47DC-A893-DCA605A00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"/>
  <sheetViews>
    <sheetView zoomScale="60" zoomScaleNormal="60" workbookViewId="0">
      <selection sqref="A1:L15"/>
    </sheetView>
  </sheetViews>
  <sheetFormatPr defaultColWidth="11.5546875" defaultRowHeight="14.4" x14ac:dyDescent="0.3"/>
  <cols>
    <col min="2" max="2" width="17.6640625" customWidth="1"/>
    <col min="3" max="3" width="22" bestFit="1" customWidth="1"/>
    <col min="9" max="9" width="13.6640625" bestFit="1" customWidth="1"/>
    <col min="11" max="11" width="12.77734375" customWidth="1"/>
  </cols>
  <sheetData>
    <row r="1" spans="2:11" x14ac:dyDescent="0.3">
      <c r="E1">
        <v>1</v>
      </c>
      <c r="F1">
        <v>4</v>
      </c>
      <c r="G1">
        <v>2</v>
      </c>
      <c r="H1">
        <v>5</v>
      </c>
      <c r="I1">
        <v>3</v>
      </c>
      <c r="J1">
        <v>6</v>
      </c>
    </row>
    <row r="2" spans="2:11" ht="16.2" thickBot="1" x14ac:dyDescent="0.35">
      <c r="B2" s="1"/>
      <c r="E2" s="9" t="s">
        <v>0</v>
      </c>
      <c r="F2" s="9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10" t="s">
        <v>5</v>
      </c>
    </row>
    <row r="3" spans="2:11" ht="15" thickBot="1" x14ac:dyDescent="0.35">
      <c r="B3" s="7" t="s">
        <v>6</v>
      </c>
      <c r="C3" s="7" t="s">
        <v>7</v>
      </c>
    </row>
    <row r="4" spans="2:11" ht="15.6" x14ac:dyDescent="0.3">
      <c r="B4" s="4" t="s">
        <v>8</v>
      </c>
      <c r="C4" s="5">
        <v>350</v>
      </c>
      <c r="E4" s="8"/>
      <c r="F4" s="8">
        <f>IF(AND(K3&lt;&gt;0,I4=0),IF(K3+C4&lt;0,-1,IF(K3&lt;0,-1,1))*ABS(C4)+I4,IF(K3+C4&lt;0,-1,1)*ABS(C4)+I4)</f>
        <v>350</v>
      </c>
      <c r="G4" s="8"/>
      <c r="H4" s="8"/>
      <c r="I4" s="8"/>
      <c r="J4" s="8"/>
      <c r="K4" s="8">
        <f t="shared" ref="K4:K11" si="0">C4+K3</f>
        <v>350</v>
      </c>
    </row>
    <row r="5" spans="2:11" ht="15.6" x14ac:dyDescent="0.3">
      <c r="B5" s="6" t="s">
        <v>9</v>
      </c>
      <c r="C5" s="5">
        <v>100</v>
      </c>
      <c r="E5" s="8">
        <f t="shared" ref="E5:E12" si="1">IF(OR(I5&lt;&gt;0,J5&lt;&gt;0),0,IF(K4*C5&gt;=0,K4,K4+C5))</f>
        <v>350</v>
      </c>
      <c r="F5" s="8"/>
      <c r="G5" s="8">
        <f>IF(C5&lt;0,0,IF(AND(K4&lt;&gt;0,I5=0,J5=0),IF(K4+C5&lt;0,-1,IF(K4&lt;0,-1,1))*ABS(C5)+I5+J5,IF(K4+C5&lt;0,-1,1)*ABS(C5)+I5+J5))</f>
        <v>100</v>
      </c>
      <c r="H5" s="8">
        <f t="shared" ref="H5:H12" si="2">IF(G5&lt;&gt;0,0,IF(AND(K4&lt;&gt;0,I5=0),IF(K4+C5&lt;0,-1,IF(K4&lt;0,-1,1))*ABS(C5)+I5,IF(K4+C5&lt;0,-1,1)*ABS(C5)+I5))</f>
        <v>0</v>
      </c>
      <c r="I5" s="8">
        <f t="shared" ref="I5:I12" si="3">IF(IF(AND(K4*C5&lt;0,ABS(C5)-ABS(K4)&gt;0),K4,0)&gt;=0,IF(AND(K4*C5&lt;0,ABS(C5)-ABS(K4)&gt;0),K4,0),0)</f>
        <v>0</v>
      </c>
      <c r="J5" s="8">
        <f t="shared" ref="J5:J12" si="4">IF(IF(AND(K4*C5&lt;0,ABS(C5)-ABS(K4)&gt;0),K4,0)&lt;0,IF(AND(K4*C5&lt;0,ABS(C5)-ABS(K4)&gt;0),K4,0),0)</f>
        <v>0</v>
      </c>
      <c r="K5" s="8">
        <f t="shared" si="0"/>
        <v>450</v>
      </c>
    </row>
    <row r="6" spans="2:11" ht="15.6" x14ac:dyDescent="0.3">
      <c r="B6" s="6" t="s">
        <v>10</v>
      </c>
      <c r="C6" s="5">
        <v>-150</v>
      </c>
      <c r="E6" s="8">
        <f t="shared" si="1"/>
        <v>300</v>
      </c>
      <c r="F6" s="8"/>
      <c r="G6" s="8">
        <f t="shared" ref="G6:G12" si="5">IF(C6&lt;0,0,IF(AND(K5&lt;&gt;0,I6=0,J6=0),IF(K5+C6&lt;0,-1,IF(K5&lt;0,-1,1))*ABS(C6)+I6+J6,IF(K5+C6&lt;0,-1,1)*ABS(C6)+I6+J6))</f>
        <v>0</v>
      </c>
      <c r="H6" s="8">
        <f t="shared" si="2"/>
        <v>150</v>
      </c>
      <c r="I6" s="8">
        <f t="shared" si="3"/>
        <v>0</v>
      </c>
      <c r="J6" s="8">
        <f t="shared" si="4"/>
        <v>0</v>
      </c>
      <c r="K6" s="8">
        <f t="shared" si="0"/>
        <v>300</v>
      </c>
    </row>
    <row r="7" spans="2:11" ht="15.6" x14ac:dyDescent="0.3">
      <c r="B7" s="6" t="s">
        <v>9</v>
      </c>
      <c r="C7" s="5">
        <v>50</v>
      </c>
      <c r="E7" s="8">
        <f t="shared" si="1"/>
        <v>300</v>
      </c>
      <c r="F7" s="8"/>
      <c r="G7" s="8">
        <f t="shared" si="5"/>
        <v>50</v>
      </c>
      <c r="H7" s="8">
        <f t="shared" si="2"/>
        <v>0</v>
      </c>
      <c r="I7" s="8">
        <f t="shared" si="3"/>
        <v>0</v>
      </c>
      <c r="J7" s="8">
        <f t="shared" si="4"/>
        <v>0</v>
      </c>
      <c r="K7" s="8">
        <f t="shared" si="0"/>
        <v>350</v>
      </c>
    </row>
    <row r="8" spans="2:11" ht="15.6" x14ac:dyDescent="0.3">
      <c r="B8" s="6" t="s">
        <v>10</v>
      </c>
      <c r="C8" s="5">
        <v>-500</v>
      </c>
      <c r="E8" s="8">
        <f t="shared" si="1"/>
        <v>0</v>
      </c>
      <c r="F8" s="8"/>
      <c r="G8" s="8">
        <f t="shared" si="5"/>
        <v>0</v>
      </c>
      <c r="H8" s="8">
        <f t="shared" si="2"/>
        <v>-150</v>
      </c>
      <c r="I8" s="8">
        <f t="shared" si="3"/>
        <v>350</v>
      </c>
      <c r="J8" s="8">
        <f t="shared" si="4"/>
        <v>0</v>
      </c>
      <c r="K8" s="8">
        <f t="shared" si="0"/>
        <v>-150</v>
      </c>
    </row>
    <row r="9" spans="2:11" ht="15.6" x14ac:dyDescent="0.3">
      <c r="B9" s="6" t="s">
        <v>9</v>
      </c>
      <c r="C9" s="5">
        <v>300</v>
      </c>
      <c r="E9" s="8">
        <f t="shared" si="1"/>
        <v>0</v>
      </c>
      <c r="F9" s="8"/>
      <c r="G9" s="8">
        <f t="shared" si="5"/>
        <v>150</v>
      </c>
      <c r="H9" s="8">
        <f t="shared" si="2"/>
        <v>0</v>
      </c>
      <c r="I9" s="8">
        <f t="shared" si="3"/>
        <v>0</v>
      </c>
      <c r="J9" s="8">
        <f t="shared" si="4"/>
        <v>-150</v>
      </c>
      <c r="K9" s="8">
        <f t="shared" si="0"/>
        <v>150</v>
      </c>
    </row>
    <row r="10" spans="2:11" ht="15.6" x14ac:dyDescent="0.3">
      <c r="B10" s="6" t="s">
        <v>10</v>
      </c>
      <c r="C10" s="5">
        <v>-75</v>
      </c>
      <c r="E10" s="8">
        <f t="shared" si="1"/>
        <v>75</v>
      </c>
      <c r="F10" s="8"/>
      <c r="G10" s="8">
        <f t="shared" si="5"/>
        <v>0</v>
      </c>
      <c r="H10" s="8">
        <f t="shared" si="2"/>
        <v>75</v>
      </c>
      <c r="I10" s="8">
        <f t="shared" si="3"/>
        <v>0</v>
      </c>
      <c r="J10" s="8">
        <f t="shared" si="4"/>
        <v>0</v>
      </c>
      <c r="K10" s="8">
        <f t="shared" si="0"/>
        <v>75</v>
      </c>
    </row>
    <row r="11" spans="2:11" ht="15.6" x14ac:dyDescent="0.3">
      <c r="B11" s="6" t="s">
        <v>10</v>
      </c>
      <c r="C11" s="5">
        <v>-50</v>
      </c>
      <c r="E11" s="8">
        <f t="shared" si="1"/>
        <v>25</v>
      </c>
      <c r="F11" s="8"/>
      <c r="G11" s="8">
        <f t="shared" si="5"/>
        <v>0</v>
      </c>
      <c r="H11" s="8">
        <f t="shared" si="2"/>
        <v>50</v>
      </c>
      <c r="I11" s="8">
        <f t="shared" si="3"/>
        <v>0</v>
      </c>
      <c r="J11" s="8">
        <f t="shared" si="4"/>
        <v>0</v>
      </c>
      <c r="K11" s="8">
        <f t="shared" si="0"/>
        <v>25</v>
      </c>
    </row>
    <row r="12" spans="2:11" ht="15.6" x14ac:dyDescent="0.3">
      <c r="B12" s="6" t="s">
        <v>9</v>
      </c>
      <c r="C12" s="5">
        <v>200</v>
      </c>
      <c r="E12" s="8">
        <f t="shared" si="1"/>
        <v>25</v>
      </c>
      <c r="F12" s="8"/>
      <c r="G12" s="8">
        <f t="shared" si="5"/>
        <v>200</v>
      </c>
      <c r="H12" s="8">
        <f t="shared" si="2"/>
        <v>0</v>
      </c>
      <c r="I12" s="8">
        <f t="shared" si="3"/>
        <v>0</v>
      </c>
      <c r="J12" s="8">
        <f t="shared" si="4"/>
        <v>0</v>
      </c>
      <c r="K12" s="8">
        <f>C12+K11</f>
        <v>225</v>
      </c>
    </row>
    <row r="13" spans="2:11" x14ac:dyDescent="0.3">
      <c r="B13" s="4" t="s">
        <v>11</v>
      </c>
      <c r="C13" s="2">
        <f>SUM(C4:C12)</f>
        <v>225</v>
      </c>
      <c r="E13" s="8"/>
      <c r="F13" s="8">
        <f>K12</f>
        <v>225</v>
      </c>
      <c r="G13" s="8"/>
      <c r="H13" s="8"/>
      <c r="I13" s="8"/>
      <c r="J13" s="8"/>
      <c r="K13" s="8">
        <f>K12</f>
        <v>225</v>
      </c>
    </row>
    <row r="20" spans="3:3" x14ac:dyDescent="0.3">
      <c r="C20" s="3"/>
    </row>
  </sheetData>
  <conditionalFormatting sqref="C4:C13">
    <cfRule type="cellIs" dxfId="1" priority="1" stopIfTrue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0"/>
  <sheetViews>
    <sheetView tabSelected="1" topLeftCell="A3" zoomScale="60" zoomScaleNormal="60" workbookViewId="0">
      <selection activeCell="N12" sqref="N12"/>
    </sheetView>
  </sheetViews>
  <sheetFormatPr defaultColWidth="11.5546875" defaultRowHeight="14.4" x14ac:dyDescent="0.3"/>
  <cols>
    <col min="2" max="2" width="17.6640625" customWidth="1"/>
    <col min="3" max="3" width="22" bestFit="1" customWidth="1"/>
    <col min="9" max="9" width="13.6640625" bestFit="1" customWidth="1"/>
    <col min="11" max="11" width="12.77734375" customWidth="1"/>
  </cols>
  <sheetData>
    <row r="1" spans="2:11" x14ac:dyDescent="0.3">
      <c r="E1">
        <v>1</v>
      </c>
      <c r="F1">
        <v>4</v>
      </c>
      <c r="G1">
        <v>2</v>
      </c>
      <c r="H1">
        <v>5</v>
      </c>
      <c r="I1">
        <v>3</v>
      </c>
      <c r="J1">
        <v>6</v>
      </c>
    </row>
    <row r="2" spans="2:11" ht="16.2" thickBot="1" x14ac:dyDescent="0.35">
      <c r="B2" s="1"/>
      <c r="E2" s="9" t="s">
        <v>0</v>
      </c>
      <c r="F2" s="9" t="s">
        <v>12</v>
      </c>
      <c r="G2" s="9" t="s">
        <v>1</v>
      </c>
      <c r="H2" s="9" t="s">
        <v>2</v>
      </c>
      <c r="I2" s="9" t="s">
        <v>3</v>
      </c>
      <c r="J2" s="9" t="s">
        <v>4</v>
      </c>
      <c r="K2" s="10" t="s">
        <v>5</v>
      </c>
    </row>
    <row r="3" spans="2:11" ht="15" thickBot="1" x14ac:dyDescent="0.35">
      <c r="B3" s="7" t="s">
        <v>6</v>
      </c>
      <c r="C3" s="7" t="s">
        <v>7</v>
      </c>
    </row>
    <row r="4" spans="2:11" ht="15.6" x14ac:dyDescent="0.3">
      <c r="B4" s="4" t="s">
        <v>8</v>
      </c>
      <c r="C4" s="5">
        <v>350</v>
      </c>
      <c r="E4" s="8"/>
      <c r="F4" s="8">
        <f>IF(AND(K3&lt;&gt;0,I4=0),IF(K3+C4&lt;0,-1,IF(K3&lt;0,-1,1))*ABS(C4)+I4,IF(K3+C4&lt;0,-1,1)*ABS(C4)+I4)</f>
        <v>350</v>
      </c>
      <c r="G4" s="8"/>
      <c r="H4" s="8"/>
      <c r="I4" s="8"/>
      <c r="J4" s="8"/>
      <c r="K4" s="8">
        <f t="shared" ref="K4:K11" si="0">C4+K3</f>
        <v>350</v>
      </c>
    </row>
    <row r="5" spans="2:11" ht="15.6" x14ac:dyDescent="0.3">
      <c r="B5" s="6" t="s">
        <v>9</v>
      </c>
      <c r="C5" s="5">
        <v>100</v>
      </c>
      <c r="E5" s="8">
        <f t="shared" ref="E5:E12" si="1">IF(OR(I5&lt;&gt;0,J5&lt;&gt;0),0,IF(K4*C5&gt;=0,K4,K4+C5))</f>
        <v>350</v>
      </c>
      <c r="F5" s="8"/>
      <c r="G5" s="8">
        <f>IF(C5&lt;0,0,IF(AND(K4&lt;&gt;0,I5=0,J5=0),IF(K4+C5&lt;0,-1,IF(K4&lt;0,-1,1))*ABS(C5)+I5+J5,IF(K4+C5&lt;0,-1,1)*ABS(C5)+I5+J5))</f>
        <v>100</v>
      </c>
      <c r="H5" s="8">
        <f t="shared" ref="H5:H12" si="2">IF(G5&lt;&gt;0,0,IF(AND(K4&lt;&gt;0,I5=0),IF(K4+C5&lt;0,-1,IF(K4&lt;0,-1,1))*ABS(C5)+I5,IF(K4+C5&lt;0,-1,1)*ABS(C5)+I5))</f>
        <v>0</v>
      </c>
      <c r="I5" s="8">
        <f t="shared" ref="I5:I12" si="3">IF(IF(AND(K4*C5&lt;0,ABS(C5)-ABS(K4)&gt;0),K4,0)&gt;=0,IF(AND(K4*C5&lt;0,ABS(C5)-ABS(K4)&gt;0),K4,0),0)</f>
        <v>0</v>
      </c>
      <c r="J5" s="8">
        <f t="shared" ref="J5:J12" si="4">IF(IF(AND(K4*C5&lt;0,ABS(C5)-ABS(K4)&gt;0),K4,0)&lt;0,IF(AND(K4*C5&lt;0,ABS(C5)-ABS(K4)&gt;0),K4,0),0)</f>
        <v>0</v>
      </c>
      <c r="K5" s="8">
        <f t="shared" si="0"/>
        <v>450</v>
      </c>
    </row>
    <row r="6" spans="2:11" ht="15.6" x14ac:dyDescent="0.3">
      <c r="B6" s="6" t="s">
        <v>10</v>
      </c>
      <c r="C6" s="5">
        <v>-150</v>
      </c>
      <c r="E6" s="8">
        <f t="shared" si="1"/>
        <v>300</v>
      </c>
      <c r="F6" s="8"/>
      <c r="G6" s="8">
        <f t="shared" ref="G6:G12" si="5">IF(C6&lt;0,0,IF(AND(K5&lt;&gt;0,I6=0,J6=0),IF(K5+C6&lt;0,-1,IF(K5&lt;0,-1,1))*ABS(C6)+I6+J6,IF(K5+C6&lt;0,-1,1)*ABS(C6)+I6+J6))</f>
        <v>0</v>
      </c>
      <c r="H6" s="8">
        <f t="shared" si="2"/>
        <v>150</v>
      </c>
      <c r="I6" s="8">
        <f t="shared" si="3"/>
        <v>0</v>
      </c>
      <c r="J6" s="8">
        <f t="shared" si="4"/>
        <v>0</v>
      </c>
      <c r="K6" s="8">
        <f t="shared" si="0"/>
        <v>300</v>
      </c>
    </row>
    <row r="7" spans="2:11" ht="15.6" x14ac:dyDescent="0.3">
      <c r="B7" s="6" t="s">
        <v>9</v>
      </c>
      <c r="C7" s="5">
        <v>50</v>
      </c>
      <c r="E7" s="8">
        <f t="shared" si="1"/>
        <v>300</v>
      </c>
      <c r="F7" s="8"/>
      <c r="G7" s="8">
        <f t="shared" si="5"/>
        <v>50</v>
      </c>
      <c r="H7" s="8">
        <f t="shared" si="2"/>
        <v>0</v>
      </c>
      <c r="I7" s="8">
        <f t="shared" si="3"/>
        <v>0</v>
      </c>
      <c r="J7" s="8">
        <f t="shared" si="4"/>
        <v>0</v>
      </c>
      <c r="K7" s="8">
        <f t="shared" si="0"/>
        <v>350</v>
      </c>
    </row>
    <row r="8" spans="2:11" ht="15.6" x14ac:dyDescent="0.3">
      <c r="B8" s="6" t="s">
        <v>10</v>
      </c>
      <c r="C8" s="5">
        <v>-500</v>
      </c>
      <c r="E8" s="8">
        <f t="shared" si="1"/>
        <v>0</v>
      </c>
      <c r="F8" s="8"/>
      <c r="G8" s="8">
        <f t="shared" si="5"/>
        <v>0</v>
      </c>
      <c r="H8" s="8">
        <f t="shared" si="2"/>
        <v>-150</v>
      </c>
      <c r="I8" s="8">
        <f t="shared" si="3"/>
        <v>350</v>
      </c>
      <c r="J8" s="8">
        <f t="shared" si="4"/>
        <v>0</v>
      </c>
      <c r="K8" s="8">
        <f t="shared" si="0"/>
        <v>-150</v>
      </c>
    </row>
    <row r="9" spans="2:11" ht="15.6" x14ac:dyDescent="0.3">
      <c r="B9" s="6" t="s">
        <v>9</v>
      </c>
      <c r="C9" s="5">
        <v>300</v>
      </c>
      <c r="E9" s="8">
        <f t="shared" si="1"/>
        <v>0</v>
      </c>
      <c r="F9" s="8"/>
      <c r="G9" s="8">
        <f t="shared" si="5"/>
        <v>150</v>
      </c>
      <c r="H9" s="8">
        <f t="shared" si="2"/>
        <v>0</v>
      </c>
      <c r="I9" s="8">
        <f t="shared" si="3"/>
        <v>0</v>
      </c>
      <c r="J9" s="8">
        <f t="shared" si="4"/>
        <v>-150</v>
      </c>
      <c r="K9" s="8">
        <f t="shared" si="0"/>
        <v>150</v>
      </c>
    </row>
    <row r="10" spans="2:11" ht="15.6" x14ac:dyDescent="0.3">
      <c r="B10" s="6" t="s">
        <v>10</v>
      </c>
      <c r="C10" s="5">
        <v>-75</v>
      </c>
      <c r="E10" s="8">
        <f t="shared" si="1"/>
        <v>75</v>
      </c>
      <c r="F10" s="8"/>
      <c r="G10" s="8">
        <f t="shared" si="5"/>
        <v>0</v>
      </c>
      <c r="H10" s="8">
        <f t="shared" si="2"/>
        <v>75</v>
      </c>
      <c r="I10" s="8">
        <f t="shared" si="3"/>
        <v>0</v>
      </c>
      <c r="J10" s="8">
        <f t="shared" si="4"/>
        <v>0</v>
      </c>
      <c r="K10" s="8">
        <f t="shared" si="0"/>
        <v>75</v>
      </c>
    </row>
    <row r="11" spans="2:11" ht="15.6" x14ac:dyDescent="0.3">
      <c r="B11" s="6" t="s">
        <v>10</v>
      </c>
      <c r="C11" s="5">
        <v>-50</v>
      </c>
      <c r="E11" s="8">
        <f t="shared" si="1"/>
        <v>25</v>
      </c>
      <c r="F11" s="8"/>
      <c r="G11" s="8">
        <f t="shared" si="5"/>
        <v>0</v>
      </c>
      <c r="H11" s="8">
        <f t="shared" si="2"/>
        <v>50</v>
      </c>
      <c r="I11" s="8">
        <f t="shared" si="3"/>
        <v>0</v>
      </c>
      <c r="J11" s="8">
        <f t="shared" si="4"/>
        <v>0</v>
      </c>
      <c r="K11" s="8">
        <f t="shared" si="0"/>
        <v>25</v>
      </c>
    </row>
    <row r="12" spans="2:11" ht="15.6" x14ac:dyDescent="0.3">
      <c r="B12" s="6" t="s">
        <v>9</v>
      </c>
      <c r="C12" s="5">
        <v>200</v>
      </c>
      <c r="E12" s="8">
        <f t="shared" si="1"/>
        <v>25</v>
      </c>
      <c r="F12" s="8"/>
      <c r="G12" s="8">
        <f t="shared" si="5"/>
        <v>200</v>
      </c>
      <c r="H12" s="8">
        <f t="shared" si="2"/>
        <v>0</v>
      </c>
      <c r="I12" s="8">
        <f t="shared" si="3"/>
        <v>0</v>
      </c>
      <c r="J12" s="8">
        <f t="shared" si="4"/>
        <v>0</v>
      </c>
      <c r="K12" s="8">
        <f>C12+K11</f>
        <v>225</v>
      </c>
    </row>
    <row r="13" spans="2:11" x14ac:dyDescent="0.3">
      <c r="B13" s="4" t="s">
        <v>11</v>
      </c>
      <c r="C13" s="2">
        <f>SUM(C4:C12)</f>
        <v>225</v>
      </c>
      <c r="E13" s="8"/>
      <c r="F13" s="8">
        <f>K12</f>
        <v>225</v>
      </c>
      <c r="G13" s="8"/>
      <c r="H13" s="8"/>
      <c r="I13" s="8"/>
      <c r="J13" s="8"/>
      <c r="K13" s="8">
        <f>K12</f>
        <v>225</v>
      </c>
    </row>
    <row r="20" spans="3:3" x14ac:dyDescent="0.3">
      <c r="C20" s="3"/>
    </row>
  </sheetData>
  <conditionalFormatting sqref="C4:C1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Waterfall - Chart</vt:lpstr>
      <vt:lpstr>Waterfall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2017-10-29T23:35:13Z</dcterms:created>
  <dcterms:modified xsi:type="dcterms:W3CDTF">2026-01-26T15:23:38Z</dcterms:modified>
</cp:coreProperties>
</file>