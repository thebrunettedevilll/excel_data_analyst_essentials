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52" documentId="11_3A0BD88FA108071AAB987D035A3CF1D80F9B2D92" xr6:coauthVersionLast="47" xr6:coauthVersionMax="47" xr10:uidLastSave="{E6B60E8F-453F-4A6B-81AB-0A9F5C685CA7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" i="1" l="1"/>
  <c r="E16" i="1"/>
  <c r="E12" i="1"/>
  <c r="E11" i="1"/>
  <c r="E10" i="1"/>
  <c r="E9" i="1"/>
  <c r="E8" i="1"/>
  <c r="E7" i="1"/>
  <c r="E6" i="1"/>
  <c r="E5" i="1"/>
  <c r="D16" i="1"/>
  <c r="D17" i="1"/>
  <c r="D6" i="1"/>
  <c r="D7" i="1"/>
  <c r="D8" i="1"/>
  <c r="D9" i="1"/>
  <c r="D10" i="1"/>
  <c r="D11" i="1"/>
  <c r="D12" i="1"/>
  <c r="D5" i="1"/>
  <c r="C17" i="1"/>
  <c r="C16" i="1"/>
  <c r="C6" i="1"/>
  <c r="C7" i="1"/>
  <c r="C8" i="1"/>
  <c r="C9" i="1"/>
  <c r="C10" i="1"/>
  <c r="C11" i="1"/>
  <c r="C12" i="1"/>
  <c r="C5" i="1"/>
  <c r="H14" i="1"/>
  <c r="I14" i="1"/>
  <c r="J14" i="1"/>
  <c r="K14" i="1"/>
  <c r="H17" i="1"/>
  <c r="I17" i="1"/>
  <c r="J17" i="1"/>
  <c r="K17" i="1"/>
  <c r="L17" i="1"/>
  <c r="H3" i="1"/>
  <c r="I3" i="1"/>
  <c r="J3" i="1"/>
  <c r="K3" i="1"/>
  <c r="L16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<sst xmlns="http://schemas.openxmlformats.org/spreadsheetml/2006/main" count="30" uniqueCount="20">
  <si>
    <t>IRR</t>
  </si>
  <si>
    <t>MIRR</t>
  </si>
  <si>
    <t>XIRR</t>
  </si>
  <si>
    <t>Investment</t>
  </si>
  <si>
    <t>Year 1</t>
  </si>
  <si>
    <t>Year 2</t>
  </si>
  <si>
    <t>Year 3</t>
  </si>
  <si>
    <t>Year 4</t>
  </si>
  <si>
    <t>Year 5</t>
  </si>
  <si>
    <t>Total Cashflow</t>
  </si>
  <si>
    <t>Investment 1</t>
  </si>
  <si>
    <t>Investment 2</t>
  </si>
  <si>
    <t>Investment 3</t>
  </si>
  <si>
    <t>Investment 4</t>
  </si>
  <si>
    <t>Investment 5</t>
  </si>
  <si>
    <t>Investment 6</t>
  </si>
  <si>
    <t>Investment 7</t>
  </si>
  <si>
    <t>Investment 8</t>
  </si>
  <si>
    <t>Investment 9</t>
  </si>
  <si>
    <t>Investment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</si>
</sst>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9" fontId="0" fillId="3" borderId="2" xfId="0" applyNumberFormat="1" applyFill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4" borderId="5" xfId="1" applyNumberFormat="1" applyFont="1" applyFill="1" applyBorder="1" applyAlignment="1">
      <alignment horizontal="center"/>
    </xf>
    <xf numFmtId="165" fontId="0" fillId="4" borderId="6" xfId="1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5" borderId="6" xfId="1" applyNumberFormat="1" applyFont="1" applyFill="1" applyBorder="1" applyAlignment="1">
      <alignment horizontal="center"/>
    </xf>
    <xf numFmtId="165" fontId="0" fillId="5" borderId="0" xfId="1" applyNumberFormat="1" applyFont="1" applyFill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4" borderId="7" xfId="1" applyNumberFormat="1" applyFont="1" applyFill="1" applyBorder="1" applyAlignment="1">
      <alignment horizontal="center"/>
    </xf>
    <xf numFmtId="165" fontId="0" fillId="4" borderId="8" xfId="1" applyNumberFormat="1" applyFont="1" applyFill="1" applyBorder="1" applyAlignment="1">
      <alignment horizontal="center"/>
    </xf>
    <xf numFmtId="165" fontId="0" fillId="4" borderId="9" xfId="1" applyNumberFormat="1" applyFont="1" applyFill="1" applyBorder="1" applyAlignment="1">
      <alignment horizontal="center"/>
    </xf>
    <xf numFmtId="9" fontId="0" fillId="0" borderId="0" xfId="0" applyNumberFormat="1"/>
    <xf numFmtId="9" fontId="0" fillId="5" borderId="2" xfId="0" applyNumberFormat="1" applyFill="1" applyBorder="1" applyAlignment="1">
      <alignment horizontal="center"/>
    </xf>
    <xf numFmtId="9" fontId="2" fillId="6" borderId="2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7"/>
  <sheetViews>
    <sheetView showGridLines="0" tabSelected="1" zoomScale="76" zoomScaleNormal="76" workbookViewId="0">
      <selection activeCell="H23" sqref="H23"/>
    </sheetView>
  </sheetViews>
  <sheetFormatPr defaultColWidth="11.19921875" defaultRowHeight="15.6" x14ac:dyDescent="0.3"/>
  <cols>
    <col min="2" max="2" width="12.796875" bestFit="1" customWidth="1"/>
    <col min="3" max="3" width="5.296875" bestFit="1" customWidth="1"/>
    <col min="4" max="5" width="8" bestFit="1" customWidth="1"/>
    <col min="6" max="11" width="10.5" bestFit="1" customWidth="1"/>
    <col min="12" max="12" width="13.5" bestFit="1" customWidth="1"/>
  </cols>
  <sheetData>
    <row r="3" spans="2:12" x14ac:dyDescent="0.3">
      <c r="F3" s="1">
        <v>43373</v>
      </c>
      <c r="G3" s="1">
        <v>43466</v>
      </c>
      <c r="H3" s="1">
        <f>EDATE(G3,12)</f>
        <v>43831</v>
      </c>
      <c r="I3" s="1">
        <f>EDATE(H3,12)</f>
        <v>44197</v>
      </c>
      <c r="J3" s="1">
        <f>EDATE(I3,12)</f>
        <v>44562</v>
      </c>
      <c r="K3" s="1">
        <f>EDATE(J3,12)</f>
        <v>44927</v>
      </c>
    </row>
    <row r="4" spans="2:12" x14ac:dyDescent="0.3"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2" t="s">
        <v>9</v>
      </c>
    </row>
    <row r="5" spans="2:12" x14ac:dyDescent="0.3">
      <c r="B5" s="4" t="s">
        <v>10</v>
      </c>
      <c r="C5" s="5">
        <f>IRR(F5:K5)</f>
        <v>0.17112389870298039</v>
      </c>
      <c r="D5" s="5">
        <f>MIRR( F5:K5,4%,5%)</f>
        <v>0.15467378102585783</v>
      </c>
      <c r="E5" s="5">
        <f>XIRR(F5:K5,F3:K3)</f>
        <v>0.21119274497032167</v>
      </c>
      <c r="F5" s="6">
        <v>-2000</v>
      </c>
      <c r="G5" s="7">
        <v>200</v>
      </c>
      <c r="H5" s="8">
        <v>200</v>
      </c>
      <c r="I5" s="8">
        <v>200</v>
      </c>
      <c r="J5" s="8">
        <v>200</v>
      </c>
      <c r="K5" s="8">
        <v>3200</v>
      </c>
      <c r="L5" s="6">
        <f t="shared" ref="L5:L12" si="0">SUM(G5:K5)</f>
        <v>4000</v>
      </c>
    </row>
    <row r="6" spans="2:12" x14ac:dyDescent="0.3">
      <c r="B6" s="4" t="s">
        <v>11</v>
      </c>
      <c r="C6" s="5">
        <f t="shared" ref="C6:C12" si="1">IRR(F6:K6)</f>
        <v>0.17219567697910376</v>
      </c>
      <c r="D6" s="5">
        <f t="shared" ref="D6:D17" si="2">MIRR( F6:K6,4%,5%)</f>
        <v>0.15495492016004264</v>
      </c>
      <c r="E6" s="5">
        <f>XIRR(F6:K6,F3:K3)</f>
        <v>0.2128379881381989</v>
      </c>
      <c r="F6" s="9">
        <v>-2000</v>
      </c>
      <c r="G6" s="10">
        <v>200</v>
      </c>
      <c r="H6" s="11">
        <v>200</v>
      </c>
      <c r="I6" s="11">
        <v>200</v>
      </c>
      <c r="J6" s="11">
        <v>300</v>
      </c>
      <c r="K6" s="11">
        <v>3100</v>
      </c>
      <c r="L6" s="9">
        <f t="shared" si="0"/>
        <v>4000</v>
      </c>
    </row>
    <row r="7" spans="2:12" x14ac:dyDescent="0.3">
      <c r="B7" s="4" t="s">
        <v>12</v>
      </c>
      <c r="C7" s="5">
        <f t="shared" si="1"/>
        <v>0.21015497033219699</v>
      </c>
      <c r="D7" s="5">
        <f t="shared" si="2"/>
        <v>0.16353748451350292</v>
      </c>
      <c r="E7" s="5">
        <f>XIRR(F7:K7,F3:K3)</f>
        <v>0.27313596606254587</v>
      </c>
      <c r="F7" s="12">
        <v>-2000</v>
      </c>
      <c r="G7" s="13">
        <v>200</v>
      </c>
      <c r="H7" s="14">
        <v>200</v>
      </c>
      <c r="I7" s="14">
        <v>200</v>
      </c>
      <c r="J7" s="14">
        <v>3400</v>
      </c>
      <c r="K7" s="14">
        <v>0</v>
      </c>
      <c r="L7" s="12">
        <f t="shared" si="0"/>
        <v>4000</v>
      </c>
    </row>
    <row r="8" spans="2:12" x14ac:dyDescent="0.3">
      <c r="B8" s="4" t="s">
        <v>13</v>
      </c>
      <c r="C8" s="5">
        <f t="shared" si="1"/>
        <v>0.21602643712711722</v>
      </c>
      <c r="D8" s="5">
        <f t="shared" si="2"/>
        <v>0.16442446165922142</v>
      </c>
      <c r="E8" s="5">
        <f>XIRR(F8:K8,F3:K3)</f>
        <v>0.28375881314277651</v>
      </c>
      <c r="F8" s="9">
        <v>-2000</v>
      </c>
      <c r="G8" s="10">
        <v>250</v>
      </c>
      <c r="H8" s="11">
        <v>250</v>
      </c>
      <c r="I8" s="11">
        <v>250</v>
      </c>
      <c r="J8" s="11">
        <v>3250</v>
      </c>
      <c r="K8" s="11">
        <v>0</v>
      </c>
      <c r="L8" s="9">
        <f t="shared" si="0"/>
        <v>4000</v>
      </c>
    </row>
    <row r="9" spans="2:12" x14ac:dyDescent="0.3">
      <c r="B9" s="4" t="s">
        <v>14</v>
      </c>
      <c r="C9" s="5">
        <f t="shared" si="1"/>
        <v>0.28393503959869926</v>
      </c>
      <c r="D9" s="5">
        <f t="shared" si="2"/>
        <v>0.17356100987107603</v>
      </c>
      <c r="E9" s="5">
        <f>XIRR(F9:K9,F3:K3)</f>
        <v>0.41104167103767408</v>
      </c>
      <c r="F9" s="12">
        <v>-2000</v>
      </c>
      <c r="G9" s="15">
        <v>250</v>
      </c>
      <c r="H9" s="16">
        <v>250</v>
      </c>
      <c r="I9" s="16">
        <v>3500</v>
      </c>
      <c r="J9" s="16">
        <v>0</v>
      </c>
      <c r="K9" s="16">
        <v>0</v>
      </c>
      <c r="L9" s="12">
        <f t="shared" si="0"/>
        <v>4000</v>
      </c>
    </row>
    <row r="10" spans="2:12" x14ac:dyDescent="0.3">
      <c r="B10" s="4" t="s">
        <v>15</v>
      </c>
      <c r="C10" s="5">
        <f t="shared" si="1"/>
        <v>0.3119841877840297</v>
      </c>
      <c r="D10" s="5">
        <f t="shared" si="2"/>
        <v>0.17576866792722501</v>
      </c>
      <c r="E10" s="5">
        <f>XIRR(F10:K10,F3:K3)</f>
        <v>0.47832824587821965</v>
      </c>
      <c r="F10" s="9">
        <v>-2000</v>
      </c>
      <c r="G10" s="10">
        <v>500</v>
      </c>
      <c r="H10" s="11">
        <v>500</v>
      </c>
      <c r="I10" s="11">
        <v>3000</v>
      </c>
      <c r="J10" s="11">
        <v>0</v>
      </c>
      <c r="K10" s="11">
        <v>0</v>
      </c>
      <c r="L10" s="9">
        <f t="shared" si="0"/>
        <v>4000</v>
      </c>
    </row>
    <row r="11" spans="2:12" x14ac:dyDescent="0.3">
      <c r="B11" s="4" t="s">
        <v>16</v>
      </c>
      <c r="C11" s="5">
        <f t="shared" si="1"/>
        <v>0.45376822659183125</v>
      </c>
      <c r="D11" s="5">
        <f t="shared" si="2"/>
        <v>0.18429734932457231</v>
      </c>
      <c r="E11" s="5">
        <f>XIRR(F11:K11,F3:K3)</f>
        <v>0.88974536657333392</v>
      </c>
      <c r="F11" s="12">
        <v>-2000</v>
      </c>
      <c r="G11" s="15">
        <v>500</v>
      </c>
      <c r="H11" s="16">
        <v>3500</v>
      </c>
      <c r="I11" s="16">
        <v>0</v>
      </c>
      <c r="J11" s="16">
        <v>0</v>
      </c>
      <c r="K11" s="16">
        <v>0</v>
      </c>
      <c r="L11" s="12">
        <f t="shared" si="0"/>
        <v>4000</v>
      </c>
    </row>
    <row r="12" spans="2:12" x14ac:dyDescent="0.3">
      <c r="B12" s="4" t="s">
        <v>17</v>
      </c>
      <c r="C12" s="5">
        <f t="shared" si="1"/>
        <v>1</v>
      </c>
      <c r="D12" s="5">
        <f t="shared" si="2"/>
        <v>0.19442102186947707</v>
      </c>
      <c r="E12" s="5">
        <f>XIRR(F12:K12,F3:K3)</f>
        <v>14.186643886566163</v>
      </c>
      <c r="F12" s="17">
        <v>-2000</v>
      </c>
      <c r="G12" s="18">
        <v>4000</v>
      </c>
      <c r="H12" s="19">
        <v>0</v>
      </c>
      <c r="I12" s="19">
        <v>0</v>
      </c>
      <c r="J12" s="19">
        <v>0</v>
      </c>
      <c r="K12" s="19">
        <v>0</v>
      </c>
      <c r="L12" s="17">
        <f t="shared" si="0"/>
        <v>4000</v>
      </c>
    </row>
    <row r="13" spans="2:12" x14ac:dyDescent="0.3">
      <c r="C13" s="20"/>
      <c r="D13" s="21"/>
      <c r="E13" s="20"/>
    </row>
    <row r="14" spans="2:12" x14ac:dyDescent="0.3">
      <c r="D14" s="21"/>
      <c r="F14" s="1">
        <v>43373</v>
      </c>
      <c r="G14" s="1">
        <v>43466</v>
      </c>
      <c r="H14" s="1">
        <f>EDATE(G14,12)</f>
        <v>43831</v>
      </c>
      <c r="I14" s="1">
        <f>EDATE(H14,12)</f>
        <v>44197</v>
      </c>
      <c r="J14" s="1">
        <f>EDATE(I14,12)</f>
        <v>44562</v>
      </c>
      <c r="K14" s="1">
        <f>EDATE(J14,12)</f>
        <v>44927</v>
      </c>
    </row>
    <row r="15" spans="2:12" x14ac:dyDescent="0.3">
      <c r="C15" s="2" t="s">
        <v>0</v>
      </c>
      <c r="D15" s="22" t="s">
        <v>1</v>
      </c>
      <c r="E15" s="3" t="s">
        <v>2</v>
      </c>
      <c r="F15" s="3" t="s">
        <v>3</v>
      </c>
      <c r="G15" s="3" t="s">
        <v>4</v>
      </c>
      <c r="H15" s="3" t="s">
        <v>5</v>
      </c>
      <c r="I15" s="3" t="s">
        <v>6</v>
      </c>
      <c r="J15" s="3" t="s">
        <v>7</v>
      </c>
      <c r="K15" s="3" t="s">
        <v>8</v>
      </c>
      <c r="L15" s="2" t="s">
        <v>9</v>
      </c>
    </row>
    <row r="16" spans="2:12" x14ac:dyDescent="0.3">
      <c r="B16" s="4" t="s">
        <v>18</v>
      </c>
      <c r="C16" s="5">
        <f>IRR(F16:K16)</f>
        <v>0.65722700866718897</v>
      </c>
      <c r="D16" s="5">
        <f t="shared" si="2"/>
        <v>0.6572270086699934</v>
      </c>
      <c r="E16" s="5">
        <f>XIRR(F16:K16,F14:K14)</f>
        <v>0.80983816385269169</v>
      </c>
      <c r="F16" s="6">
        <v>-2000</v>
      </c>
      <c r="G16" s="7">
        <v>0</v>
      </c>
      <c r="H16" s="8">
        <v>0</v>
      </c>
      <c r="I16" s="8">
        <v>0</v>
      </c>
      <c r="J16" s="8">
        <v>0</v>
      </c>
      <c r="K16" s="8">
        <v>25000</v>
      </c>
      <c r="L16" s="6">
        <f>SUM(G16:K16)</f>
        <v>25000</v>
      </c>
    </row>
    <row r="17" spans="2:12" x14ac:dyDescent="0.3">
      <c r="B17" s="4" t="s">
        <v>19</v>
      </c>
      <c r="C17" s="5">
        <f>IRR(F17:K17)</f>
        <v>0.65995513107235637</v>
      </c>
      <c r="D17" s="5">
        <f t="shared" si="2"/>
        <v>0.31692140292163518</v>
      </c>
      <c r="E17" s="5">
        <f>XIRR(F17:K17,F14:K14)</f>
        <v>1.3229886889457705</v>
      </c>
      <c r="F17" s="17">
        <v>-2000</v>
      </c>
      <c r="G17" s="18">
        <v>1433.6639881237566</v>
      </c>
      <c r="H17" s="19">
        <f>G17</f>
        <v>1433.6639881237566</v>
      </c>
      <c r="I17" s="19">
        <f>H17</f>
        <v>1433.6639881237566</v>
      </c>
      <c r="J17" s="19">
        <f>I17</f>
        <v>1433.6639881237566</v>
      </c>
      <c r="K17" s="19">
        <f>J17</f>
        <v>1433.6639881237566</v>
      </c>
      <c r="L17" s="17">
        <f>SUM(G17:K17)</f>
        <v>7168.3199406187832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2017-09-24T16:30:49Z</dcterms:created>
  <dcterms:modified xsi:type="dcterms:W3CDTF">2025-12-31T13:24:29Z</dcterms:modified>
</cp:coreProperties>
</file>