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4/"/>
    </mc:Choice>
  </mc:AlternateContent>
  <xr:revisionPtr revIDLastSave="71" documentId="11_3BF1A162304ED47B7171CF5A41D3B852CEB3FBD9" xr6:coauthVersionLast="47" xr6:coauthVersionMax="47" xr10:uidLastSave="{BFCF7217-A06A-4EEC-9075-14F42D3238F5}"/>
  <bookViews>
    <workbookView xWindow="11424" yWindow="0" windowWidth="11712" windowHeight="12336" tabRatio="500" activeTab="1" xr2:uid="{00000000-000D-0000-FFFF-FFFF00000000}"/>
  </bookViews>
  <sheets>
    <sheet name="Sheet1" sheetId="2" r:id="rId1"/>
    <sheet name="Sheet2" sheetId="1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6" i="1" l="1"/>
  <c r="C15" i="1"/>
  <c r="C11" i="1"/>
  <c r="C10" i="1"/>
  <c r="C9" i="1"/>
  <c r="C8" i="1"/>
  <c r="C7" i="1"/>
  <c r="C6" i="1"/>
  <c r="C5" i="1"/>
  <c r="C4" i="1"/>
  <c r="D16" i="1"/>
  <c r="D15" i="1"/>
  <c r="D11" i="1"/>
  <c r="D10" i="1"/>
  <c r="D9" i="1"/>
  <c r="D8" i="1"/>
  <c r="D7" i="1"/>
  <c r="D6" i="1"/>
  <c r="D5" i="1"/>
  <c r="D4" i="1"/>
  <c r="D35" i="2"/>
  <c r="E35" i="2"/>
  <c r="F35" i="2"/>
  <c r="G35" i="2"/>
  <c r="H35" i="2"/>
  <c r="I35" i="2"/>
  <c r="J35" i="2"/>
  <c r="K35" i="2"/>
  <c r="L35" i="2"/>
  <c r="M35" i="2"/>
  <c r="D37" i="2"/>
  <c r="D23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D8" i="2"/>
  <c r="J16" i="1"/>
  <c r="K16" i="1"/>
  <c r="L16" i="1"/>
  <c r="M16" i="1"/>
  <c r="N16" i="1"/>
  <c r="J2" i="1"/>
  <c r="K2" i="1"/>
  <c r="L2" i="1"/>
  <c r="M2" i="1"/>
  <c r="G16" i="1"/>
  <c r="F16" i="1"/>
  <c r="E16" i="1"/>
  <c r="N15" i="1"/>
  <c r="G15" i="1"/>
  <c r="F15" i="1"/>
  <c r="E15" i="1"/>
  <c r="N11" i="1"/>
  <c r="G11" i="1"/>
  <c r="F11" i="1"/>
  <c r="E11" i="1"/>
  <c r="N10" i="1"/>
  <c r="G10" i="1"/>
  <c r="F10" i="1"/>
  <c r="E10" i="1"/>
  <c r="N9" i="1"/>
  <c r="G9" i="1"/>
  <c r="F9" i="1"/>
  <c r="E9" i="1"/>
  <c r="N8" i="1"/>
  <c r="G8" i="1"/>
  <c r="F8" i="1"/>
  <c r="E8" i="1"/>
  <c r="N7" i="1"/>
  <c r="G7" i="1"/>
  <c r="F7" i="1"/>
  <c r="E7" i="1"/>
  <c r="N6" i="1"/>
  <c r="G6" i="1"/>
  <c r="F6" i="1"/>
  <c r="E6" i="1"/>
  <c r="N5" i="1"/>
  <c r="G5" i="1"/>
  <c r="F5" i="1"/>
  <c r="E5" i="1"/>
  <c r="N4" i="1"/>
  <c r="G4" i="1"/>
  <c r="F4" i="1"/>
  <c r="E4" i="1"/>
  <c r="E31" i="2"/>
  <c r="E16" i="2"/>
  <c r="F31" i="2"/>
  <c r="F16" i="2"/>
  <c r="G31" i="2"/>
  <c r="G16" i="2"/>
  <c r="H31" i="2"/>
  <c r="H16" i="2"/>
  <c r="I31" i="2"/>
  <c r="I16" i="2"/>
  <c r="J31" i="2"/>
  <c r="J16" i="2"/>
  <c r="K31" i="2"/>
  <c r="K16" i="2"/>
  <c r="L31" i="2"/>
  <c r="L16" i="2"/>
  <c r="M31" i="2"/>
  <c r="M16" i="2"/>
  <c r="E30" i="2"/>
  <c r="F30" i="2"/>
  <c r="G30" i="2"/>
  <c r="H30" i="2"/>
  <c r="I30" i="2"/>
  <c r="J30" i="2"/>
  <c r="K30" i="2"/>
  <c r="L30" i="2"/>
  <c r="M30" i="2"/>
  <c r="E17" i="2"/>
  <c r="F17" i="2"/>
  <c r="G17" i="2"/>
  <c r="H17" i="2"/>
  <c r="I17" i="2"/>
  <c r="J17" i="2"/>
  <c r="K17" i="2"/>
  <c r="L17" i="2"/>
  <c r="M17" i="2"/>
  <c r="N17" i="2"/>
  <c r="N16" i="2"/>
  <c r="O17" i="2"/>
  <c r="O16" i="2"/>
  <c r="P17" i="2"/>
  <c r="P16" i="2"/>
  <c r="Q17" i="2"/>
  <c r="Q16" i="2"/>
  <c r="R17" i="2"/>
  <c r="R16" i="2"/>
  <c r="S17" i="2"/>
  <c r="S16" i="2"/>
  <c r="T17" i="2"/>
  <c r="T16" i="2"/>
  <c r="U17" i="2"/>
  <c r="U16" i="2"/>
  <c r="V17" i="2"/>
  <c r="V16" i="2"/>
  <c r="W17" i="2"/>
  <c r="W16" i="2"/>
</calcChain>
</file>

<file path=xl/sharedStrings.xml><?xml version="1.0" encoding="utf-8"?>
<sst xmlns="http://schemas.openxmlformats.org/spreadsheetml/2006/main" count="53" uniqueCount="32">
  <si>
    <t>ONE FUTURE PAYMENT</t>
  </si>
  <si>
    <t>Future Payment</t>
  </si>
  <si>
    <t>In Year</t>
  </si>
  <si>
    <t>Discount Rate</t>
  </si>
  <si>
    <t>NPV</t>
  </si>
  <si>
    <t>EXAMPLE 1</t>
  </si>
  <si>
    <t>Option 1 Today</t>
  </si>
  <si>
    <t>Year</t>
  </si>
  <si>
    <t>Option 2  Cash Flow</t>
  </si>
  <si>
    <t>Discounted Cash Flow</t>
  </si>
  <si>
    <t>EXAMPLE 2</t>
  </si>
  <si>
    <t>Cash Multiple</t>
  </si>
  <si>
    <t>IRR</t>
  </si>
  <si>
    <t>MIRR</t>
  </si>
  <si>
    <t>XIRR</t>
  </si>
  <si>
    <t>Investment</t>
  </si>
  <si>
    <t>Year 1</t>
  </si>
  <si>
    <t>Year 2</t>
  </si>
  <si>
    <t>Year 3</t>
  </si>
  <si>
    <t>Year 4</t>
  </si>
  <si>
    <t>Year 5</t>
  </si>
  <si>
    <t>Total Cashflow</t>
  </si>
  <si>
    <t>Investment 1</t>
  </si>
  <si>
    <t>Investment 2</t>
  </si>
  <si>
    <t>Investment 3</t>
  </si>
  <si>
    <t>Investment 4</t>
  </si>
  <si>
    <t>Investment 5</t>
  </si>
  <si>
    <t>Investment 6</t>
  </si>
  <si>
    <t>Investment 7</t>
  </si>
  <si>
    <t>Investment 8</t>
  </si>
  <si>
    <t>Investment 9</t>
  </si>
  <si>
    <t>Investment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</si>
</sst>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&quot;$&quot;* #,##0_);_(&quot;$&quot;* \(#,##0\);_(&quot;$&quot;* &quot;-&quot;??_);_(@_)"/>
    <numFmt numFmtId="168" formatCode="_(* #,##0_);_(* \(#,##0\);_(* &quot;-&quot;??_);_(@_)"/>
    <numFmt numFmtId="169" formatCode="0.0%"/>
    <numFmt numFmtId="170" formatCode="0.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right" indent="1"/>
    </xf>
    <xf numFmtId="0" fontId="0" fillId="0" borderId="0" xfId="0" applyAlignment="1">
      <alignment horizontal="right" indent="1"/>
    </xf>
    <xf numFmtId="0" fontId="4" fillId="2" borderId="2" xfId="0" applyFont="1" applyFill="1" applyBorder="1" applyAlignment="1">
      <alignment horizontal="right"/>
    </xf>
    <xf numFmtId="0" fontId="0" fillId="0" borderId="2" xfId="0" applyBorder="1"/>
    <xf numFmtId="0" fontId="2" fillId="4" borderId="0" xfId="0" applyFont="1" applyFill="1" applyAlignment="1">
      <alignment horizontal="right"/>
    </xf>
    <xf numFmtId="167" fontId="0" fillId="0" borderId="1" xfId="2" applyNumberFormat="1" applyFont="1" applyBorder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167" fontId="0" fillId="0" borderId="0" xfId="2" applyNumberFormat="1" applyFont="1" applyAlignment="1">
      <alignment horizontal="center"/>
    </xf>
    <xf numFmtId="169" fontId="0" fillId="3" borderId="0" xfId="3" applyNumberFormat="1" applyFont="1" applyFill="1"/>
    <xf numFmtId="0" fontId="3" fillId="0" borderId="0" xfId="0" applyFont="1"/>
    <xf numFmtId="167" fontId="0" fillId="0" borderId="0" xfId="0" applyNumberFormat="1"/>
    <xf numFmtId="169" fontId="0" fillId="3" borderId="0" xfId="0" applyNumberFormat="1" applyFill="1" applyAlignment="1">
      <alignment horizontal="center"/>
    </xf>
    <xf numFmtId="169" fontId="0" fillId="0" borderId="0" xfId="0" applyNumberFormat="1" applyAlignment="1">
      <alignment horizontal="center"/>
    </xf>
    <xf numFmtId="14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70" fontId="0" fillId="3" borderId="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9" fontId="0" fillId="0" borderId="3" xfId="3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167" fontId="0" fillId="0" borderId="3" xfId="2" applyNumberFormat="1" applyFont="1" applyBorder="1" applyAlignment="1">
      <alignment horizontal="center"/>
    </xf>
    <xf numFmtId="167" fontId="0" fillId="0" borderId="4" xfId="2" applyNumberFormat="1" applyFont="1" applyBorder="1" applyAlignment="1">
      <alignment horizontal="center"/>
    </xf>
    <xf numFmtId="167" fontId="0" fillId="0" borderId="5" xfId="2" applyNumberFormat="1" applyFont="1" applyBorder="1" applyAlignment="1">
      <alignment horizontal="center"/>
    </xf>
    <xf numFmtId="9" fontId="0" fillId="5" borderId="6" xfId="3" applyFont="1" applyFill="1" applyBorder="1" applyAlignment="1">
      <alignment horizontal="center"/>
    </xf>
    <xf numFmtId="9" fontId="0" fillId="5" borderId="6" xfId="0" applyNumberFormat="1" applyFill="1" applyBorder="1" applyAlignment="1">
      <alignment horizontal="center"/>
    </xf>
    <xf numFmtId="167" fontId="0" fillId="5" borderId="6" xfId="2" applyNumberFormat="1" applyFont="1" applyFill="1" applyBorder="1" applyAlignment="1">
      <alignment horizontal="center"/>
    </xf>
    <xf numFmtId="167" fontId="0" fillId="5" borderId="7" xfId="2" applyNumberFormat="1" applyFont="1" applyFill="1" applyBorder="1" applyAlignment="1">
      <alignment horizontal="center"/>
    </xf>
    <xf numFmtId="167" fontId="0" fillId="5" borderId="0" xfId="2" applyNumberFormat="1" applyFont="1" applyFill="1" applyBorder="1" applyAlignment="1">
      <alignment horizontal="center"/>
    </xf>
    <xf numFmtId="9" fontId="0" fillId="0" borderId="6" xfId="3" applyFon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167" fontId="0" fillId="0" borderId="6" xfId="2" applyNumberFormat="1" applyFont="1" applyBorder="1" applyAlignment="1">
      <alignment horizontal="center"/>
    </xf>
    <xf numFmtId="167" fontId="0" fillId="6" borderId="7" xfId="2" applyNumberFormat="1" applyFont="1" applyFill="1" applyBorder="1" applyAlignment="1">
      <alignment horizontal="center"/>
    </xf>
    <xf numFmtId="167" fontId="0" fillId="6" borderId="0" xfId="2" applyNumberFormat="1" applyFont="1" applyFill="1" applyBorder="1" applyAlignment="1">
      <alignment horizontal="center"/>
    </xf>
    <xf numFmtId="167" fontId="0" fillId="0" borderId="7" xfId="2" applyNumberFormat="1" applyFont="1" applyBorder="1" applyAlignment="1">
      <alignment horizontal="center"/>
    </xf>
    <xf numFmtId="167" fontId="0" fillId="0" borderId="0" xfId="2" applyNumberFormat="1" applyFont="1" applyBorder="1" applyAlignment="1">
      <alignment horizontal="center"/>
    </xf>
    <xf numFmtId="9" fontId="0" fillId="5" borderId="8" xfId="3" applyFont="1" applyFill="1" applyBorder="1" applyAlignment="1">
      <alignment horizontal="center"/>
    </xf>
    <xf numFmtId="9" fontId="0" fillId="5" borderId="8" xfId="0" applyNumberFormat="1" applyFill="1" applyBorder="1" applyAlignment="1">
      <alignment horizontal="center"/>
    </xf>
    <xf numFmtId="167" fontId="0" fillId="5" borderId="8" xfId="2" applyNumberFormat="1" applyFont="1" applyFill="1" applyBorder="1" applyAlignment="1">
      <alignment horizontal="center"/>
    </xf>
    <xf numFmtId="167" fontId="0" fillId="5" borderId="9" xfId="2" applyNumberFormat="1" applyFont="1" applyFill="1" applyBorder="1" applyAlignment="1">
      <alignment horizontal="center"/>
    </xf>
    <xf numFmtId="167" fontId="0" fillId="5" borderId="2" xfId="2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7" fontId="0" fillId="0" borderId="1" xfId="2" applyNumberFormat="1" applyFont="1" applyFill="1" applyBorder="1"/>
    <xf numFmtId="168" fontId="0" fillId="0" borderId="1" xfId="1" applyNumberFormat="1" applyFont="1" applyFill="1" applyBorder="1"/>
    <xf numFmtId="169" fontId="0" fillId="0" borderId="1" xfId="3" applyNumberFormat="1" applyFont="1" applyFill="1" applyBorder="1"/>
    <xf numFmtId="167" fontId="0" fillId="7" borderId="1" xfId="0" applyNumberFormat="1" applyFill="1" applyBorder="1"/>
    <xf numFmtId="167" fontId="0" fillId="7" borderId="0" xfId="2" applyNumberFormat="1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 cent" xfId="3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270810</xdr:colOff>
      <xdr:row>5</xdr:row>
      <xdr:rowOff>196102</xdr:rowOff>
    </xdr:from>
    <xdr:to>
      <xdr:col>7</xdr:col>
      <xdr:colOff>303306</xdr:colOff>
      <xdr:row>9</xdr:row>
      <xdr:rowOff>18493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2610" y="1212102"/>
          <a:ext cx="1480297" cy="635191"/>
        </a:xfrm>
        <a:prstGeom prst="rect">
          <a:avLst/>
        </a:prstGeom>
      </xdr:spPr>
    </xdr:pic>
    <xdr:clientData/>
  </xdr:twoCellAnchor>
  <xdr:twoCellAnchor editAs="oneCell">
    <xdr:from>
      <xdr:col>4</xdr:col>
      <xdr:colOff>224117</xdr:colOff>
      <xdr:row>21</xdr:row>
      <xdr:rowOff>25621</xdr:rowOff>
    </xdr:from>
    <xdr:to>
      <xdr:col>9</xdr:col>
      <xdr:colOff>74545</xdr:colOff>
      <xdr:row>25</xdr:row>
      <xdr:rowOff>15343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5917" y="4330921"/>
          <a:ext cx="2263428" cy="8025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W37"/>
  <sheetViews>
    <sheetView showGridLines="0" topLeftCell="A12" zoomScale="72" zoomScaleNormal="72" workbookViewId="0">
      <selection activeCell="D23" sqref="D23"/>
    </sheetView>
  </sheetViews>
  <sheetFormatPr defaultColWidth="11.19921875" defaultRowHeight="15.6" x14ac:dyDescent="0.3"/>
  <cols>
    <col min="1" max="2" width="3.69921875" customWidth="1"/>
    <col min="3" max="3" width="20.69921875" bestFit="1" customWidth="1"/>
    <col min="4" max="4" width="7.59765625" bestFit="1" customWidth="1"/>
    <col min="5" max="23" width="6.296875" bestFit="1" customWidth="1"/>
  </cols>
  <sheetData>
    <row r="1" spans="3:23" x14ac:dyDescent="0.3">
      <c r="C1" s="1" t="s">
        <v>0</v>
      </c>
    </row>
    <row r="3" spans="3:23" x14ac:dyDescent="0.3">
      <c r="C3" s="2" t="s">
        <v>1</v>
      </c>
      <c r="D3" s="44">
        <v>750</v>
      </c>
    </row>
    <row r="4" spans="3:23" x14ac:dyDescent="0.3">
      <c r="C4" s="2" t="s">
        <v>2</v>
      </c>
      <c r="D4" s="45">
        <v>5</v>
      </c>
    </row>
    <row r="5" spans="3:23" x14ac:dyDescent="0.3">
      <c r="C5" s="3"/>
    </row>
    <row r="6" spans="3:23" x14ac:dyDescent="0.3">
      <c r="C6" s="2" t="s">
        <v>3</v>
      </c>
      <c r="D6" s="46">
        <v>0.03</v>
      </c>
    </row>
    <row r="7" spans="3:23" x14ac:dyDescent="0.3">
      <c r="C7" s="3"/>
    </row>
    <row r="8" spans="3:23" x14ac:dyDescent="0.3">
      <c r="C8" s="2" t="s">
        <v>4</v>
      </c>
      <c r="D8" s="47">
        <f>D3/(1+D6)^D4</f>
        <v>646.95658828812304</v>
      </c>
    </row>
    <row r="11" spans="3:23" ht="18" x14ac:dyDescent="0.35">
      <c r="C11" s="4" t="s">
        <v>5</v>
      </c>
      <c r="D11" s="5"/>
      <c r="E11" s="5"/>
      <c r="F11" s="5"/>
    </row>
    <row r="14" spans="3:23" x14ac:dyDescent="0.3">
      <c r="C14" s="6" t="s">
        <v>6</v>
      </c>
      <c r="D14" s="7">
        <v>750</v>
      </c>
    </row>
    <row r="16" spans="3:23" s="9" customFormat="1" x14ac:dyDescent="0.3">
      <c r="C16" s="1" t="s">
        <v>7</v>
      </c>
      <c r="D16" s="8">
        <v>1</v>
      </c>
      <c r="E16" s="8">
        <f>D16+1</f>
        <v>2</v>
      </c>
      <c r="F16" s="8">
        <f t="shared" ref="F16:W16" si="0">E16+1</f>
        <v>3</v>
      </c>
      <c r="G16" s="8">
        <f t="shared" si="0"/>
        <v>4</v>
      </c>
      <c r="H16" s="8">
        <f t="shared" si="0"/>
        <v>5</v>
      </c>
      <c r="I16" s="8">
        <f t="shared" si="0"/>
        <v>6</v>
      </c>
      <c r="J16" s="8">
        <f t="shared" si="0"/>
        <v>7</v>
      </c>
      <c r="K16" s="8">
        <f t="shared" si="0"/>
        <v>8</v>
      </c>
      <c r="L16" s="8">
        <f t="shared" si="0"/>
        <v>9</v>
      </c>
      <c r="M16" s="8">
        <f t="shared" si="0"/>
        <v>10</v>
      </c>
      <c r="N16" s="8">
        <f t="shared" si="0"/>
        <v>11</v>
      </c>
      <c r="O16" s="8">
        <f t="shared" si="0"/>
        <v>12</v>
      </c>
      <c r="P16" s="8">
        <f t="shared" si="0"/>
        <v>13</v>
      </c>
      <c r="Q16" s="8">
        <f t="shared" si="0"/>
        <v>14</v>
      </c>
      <c r="R16" s="8">
        <f t="shared" si="0"/>
        <v>15</v>
      </c>
      <c r="S16" s="8">
        <f t="shared" si="0"/>
        <v>16</v>
      </c>
      <c r="T16" s="8">
        <f t="shared" si="0"/>
        <v>17</v>
      </c>
      <c r="U16" s="8">
        <f t="shared" si="0"/>
        <v>18</v>
      </c>
      <c r="V16" s="8">
        <f t="shared" si="0"/>
        <v>19</v>
      </c>
      <c r="W16" s="8">
        <f t="shared" si="0"/>
        <v>20</v>
      </c>
    </row>
    <row r="17" spans="3:23" x14ac:dyDescent="0.3">
      <c r="C17" s="6" t="s">
        <v>8</v>
      </c>
      <c r="D17" s="10">
        <v>100</v>
      </c>
      <c r="E17" s="10">
        <f t="shared" ref="E17:W17" si="1">D17</f>
        <v>100</v>
      </c>
      <c r="F17" s="10">
        <f t="shared" si="1"/>
        <v>100</v>
      </c>
      <c r="G17" s="10">
        <f t="shared" si="1"/>
        <v>100</v>
      </c>
      <c r="H17" s="10">
        <f t="shared" si="1"/>
        <v>100</v>
      </c>
      <c r="I17" s="10">
        <f t="shared" si="1"/>
        <v>100</v>
      </c>
      <c r="J17" s="10">
        <f t="shared" si="1"/>
        <v>100</v>
      </c>
      <c r="K17" s="10">
        <f t="shared" si="1"/>
        <v>100</v>
      </c>
      <c r="L17" s="10">
        <f t="shared" si="1"/>
        <v>100</v>
      </c>
      <c r="M17" s="10">
        <f t="shared" si="1"/>
        <v>100</v>
      </c>
      <c r="N17" s="10">
        <f t="shared" si="1"/>
        <v>100</v>
      </c>
      <c r="O17" s="10">
        <f t="shared" si="1"/>
        <v>100</v>
      </c>
      <c r="P17" s="10">
        <f t="shared" si="1"/>
        <v>100</v>
      </c>
      <c r="Q17" s="10">
        <f t="shared" si="1"/>
        <v>100</v>
      </c>
      <c r="R17" s="10">
        <f t="shared" si="1"/>
        <v>100</v>
      </c>
      <c r="S17" s="10">
        <f t="shared" si="1"/>
        <v>100</v>
      </c>
      <c r="T17" s="10">
        <f t="shared" si="1"/>
        <v>100</v>
      </c>
      <c r="U17" s="10">
        <f t="shared" si="1"/>
        <v>100</v>
      </c>
      <c r="V17" s="10">
        <f t="shared" si="1"/>
        <v>100</v>
      </c>
      <c r="W17" s="10">
        <f t="shared" si="1"/>
        <v>100</v>
      </c>
    </row>
    <row r="18" spans="3:23" x14ac:dyDescent="0.3">
      <c r="C18" s="9"/>
    </row>
    <row r="19" spans="3:23" x14ac:dyDescent="0.3">
      <c r="C19" s="1" t="s">
        <v>3</v>
      </c>
      <c r="D19" s="11">
        <v>0.11934957100455332</v>
      </c>
    </row>
    <row r="20" spans="3:23" x14ac:dyDescent="0.3">
      <c r="C20" s="9"/>
    </row>
    <row r="21" spans="3:23" x14ac:dyDescent="0.3">
      <c r="C21" s="1" t="s">
        <v>9</v>
      </c>
      <c r="D21" s="48">
        <f>D17/(1+D19)^D16</f>
        <v>89.337596216931246</v>
      </c>
      <c r="E21" s="48">
        <f>E17/(1+D19)^E16</f>
        <v>79.812060978194481</v>
      </c>
      <c r="F21" s="48">
        <f>F17/(1+D19)^F16</f>
        <v>71.302176769110332</v>
      </c>
      <c r="G21" s="48">
        <f>G17/(1+D19)^G16</f>
        <v>63.699650775870339</v>
      </c>
      <c r="H21" s="48">
        <f>H17/(1+D19)^H16</f>
        <v>56.907736801742359</v>
      </c>
      <c r="I21" s="48">
        <f>I17/(1+D19)^I16</f>
        <v>50.840004120134566</v>
      </c>
      <c r="J21" s="48">
        <f>J17/(1+D19)^J16</f>
        <v>45.419237597517025</v>
      </c>
      <c r="K21" s="48">
        <f>K17/(1+D19)^K16</f>
        <v>40.576455089678383</v>
      </c>
      <c r="L21" s="48">
        <f>L17/(1+D19)^L16</f>
        <v>36.250029607161316</v>
      </c>
      <c r="M21" s="48">
        <f>M17/(1+D19)^M16</f>
        <v>32.384905078963804</v>
      </c>
      <c r="N21" s="48">
        <f>N17/(1+D19)^N16</f>
        <v>28.931895734681142</v>
      </c>
      <c r="O21" s="48">
        <f>O17/(1+D19)^O16</f>
        <v>25.847060189352995</v>
      </c>
      <c r="P21" s="48">
        <f>P17/(1+D19)^P16</f>
        <v>23.091142265911365</v>
      </c>
      <c r="Q21" s="48">
        <f>Q17/(1+D19)^Q16</f>
        <v>20.629071439397041</v>
      </c>
      <c r="R21" s="48">
        <f>R17/(1+D19)^R16</f>
        <v>18.429516545830811</v>
      </c>
      <c r="S21" s="48">
        <f>S17/(1+D19)^S16</f>
        <v>16.464487076446868</v>
      </c>
      <c r="T21" s="48">
        <f>T17/(1+D19)^T16</f>
        <v>14.708976983544931</v>
      </c>
      <c r="U21" s="48">
        <f>U17/(1+D19)^U16</f>
        <v>13.140646465200723</v>
      </c>
      <c r="V21" s="48">
        <f>V17/(1+D19)^V16</f>
        <v>11.73953767937547</v>
      </c>
      <c r="W21" s="48">
        <f>W17/(1+D19)^W16</f>
        <v>10.487820769734958</v>
      </c>
    </row>
    <row r="23" spans="3:23" x14ac:dyDescent="0.3">
      <c r="C23" s="1" t="s">
        <v>4</v>
      </c>
      <c r="D23" s="47">
        <f>SUM(D21:W21)</f>
        <v>750.0000081847802</v>
      </c>
    </row>
    <row r="24" spans="3:23" x14ac:dyDescent="0.3">
      <c r="C24" s="12"/>
      <c r="D24" s="13"/>
    </row>
    <row r="26" spans="3:23" ht="18" x14ac:dyDescent="0.35">
      <c r="C26" s="4" t="s">
        <v>10</v>
      </c>
      <c r="D26" s="5"/>
      <c r="E26" s="5"/>
      <c r="F26" s="5"/>
    </row>
    <row r="28" spans="3:23" x14ac:dyDescent="0.3">
      <c r="C28" s="6" t="s">
        <v>6</v>
      </c>
      <c r="D28" s="7">
        <v>750</v>
      </c>
    </row>
    <row r="30" spans="3:23" s="9" customFormat="1" x14ac:dyDescent="0.3">
      <c r="C30" s="1" t="s">
        <v>7</v>
      </c>
      <c r="D30" s="8">
        <v>1</v>
      </c>
      <c r="E30" s="8">
        <f>D30+1</f>
        <v>2</v>
      </c>
      <c r="F30" s="8">
        <f t="shared" ref="F30:M30" si="2">E30+1</f>
        <v>3</v>
      </c>
      <c r="G30" s="8">
        <f t="shared" si="2"/>
        <v>4</v>
      </c>
      <c r="H30" s="8">
        <f t="shared" si="2"/>
        <v>5</v>
      </c>
      <c r="I30" s="8">
        <f t="shared" si="2"/>
        <v>6</v>
      </c>
      <c r="J30" s="8">
        <f t="shared" si="2"/>
        <v>7</v>
      </c>
      <c r="K30" s="8">
        <f t="shared" si="2"/>
        <v>8</v>
      </c>
      <c r="L30" s="8">
        <f t="shared" si="2"/>
        <v>9</v>
      </c>
      <c r="M30" s="8">
        <f t="shared" si="2"/>
        <v>10</v>
      </c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3:23" x14ac:dyDescent="0.3">
      <c r="C31" s="6" t="s">
        <v>8</v>
      </c>
      <c r="D31" s="10">
        <v>200</v>
      </c>
      <c r="E31" s="10">
        <f t="shared" ref="E31:M31" si="3">D31</f>
        <v>200</v>
      </c>
      <c r="F31" s="10">
        <f t="shared" si="3"/>
        <v>200</v>
      </c>
      <c r="G31" s="10">
        <f t="shared" si="3"/>
        <v>200</v>
      </c>
      <c r="H31" s="10">
        <f t="shared" si="3"/>
        <v>200</v>
      </c>
      <c r="I31" s="10">
        <f t="shared" si="3"/>
        <v>200</v>
      </c>
      <c r="J31" s="10">
        <f t="shared" si="3"/>
        <v>200</v>
      </c>
      <c r="K31" s="10">
        <f t="shared" si="3"/>
        <v>200</v>
      </c>
      <c r="L31" s="10">
        <f t="shared" si="3"/>
        <v>200</v>
      </c>
      <c r="M31" s="10">
        <f t="shared" si="3"/>
        <v>200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3:23" x14ac:dyDescent="0.3">
      <c r="C32" s="9"/>
    </row>
    <row r="33" spans="3:23" x14ac:dyDescent="0.3">
      <c r="C33" s="1" t="s">
        <v>3</v>
      </c>
      <c r="D33" s="11">
        <v>0.23413136519329689</v>
      </c>
    </row>
    <row r="34" spans="3:23" x14ac:dyDescent="0.3">
      <c r="C34" s="9"/>
    </row>
    <row r="35" spans="3:23" x14ac:dyDescent="0.3">
      <c r="C35" s="1" t="s">
        <v>9</v>
      </c>
      <c r="D35" s="48">
        <f>D31/(1+D33)^D30</f>
        <v>162.05730252117434</v>
      </c>
      <c r="E35" s="48">
        <f>E31/(1+D33)^E30</f>
        <v>131.31284650219712</v>
      </c>
      <c r="F35" s="48">
        <f>F31/(1+D33)^F30</f>
        <v>106.40102845261544</v>
      </c>
      <c r="G35" s="48">
        <f>G31/(1+D33)^G30</f>
        <v>86.215318282547898</v>
      </c>
      <c r="H35" s="48">
        <f>H31/(1+D33)^H30</f>
        <v>69.859109584370998</v>
      </c>
      <c r="I35" s="48">
        <f>I31/(1+D33)^I30</f>
        <v>56.605894278871403</v>
      </c>
      <c r="J35" s="48">
        <f>J31/(1+D33)^J30</f>
        <v>45.86699266816337</v>
      </c>
      <c r="K35" s="48">
        <f>K31/(1+D33)^K30</f>
        <v>37.165405532805188</v>
      </c>
      <c r="L35" s="48">
        <f>L31/(1+D33)^L30</f>
        <v>30.114626838759687</v>
      </c>
      <c r="M35" s="48">
        <f>M31/(1+D33)^M30</f>
        <v>24.401475959605776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7" spans="3:23" x14ac:dyDescent="0.3">
      <c r="C37" s="1" t="s">
        <v>4</v>
      </c>
      <c r="D37" s="47">
        <f>SUM(D35:M35)</f>
        <v>750.00000062111121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6"/>
  <sheetViews>
    <sheetView showGridLines="0" tabSelected="1" zoomScale="68" zoomScaleNormal="68" workbookViewId="0">
      <selection activeCell="C4" sqref="C4"/>
    </sheetView>
  </sheetViews>
  <sheetFormatPr defaultColWidth="11.19921875" defaultRowHeight="15.6" x14ac:dyDescent="0.3"/>
  <cols>
    <col min="1" max="1" width="1" customWidth="1"/>
    <col min="2" max="2" width="12.796875" bestFit="1" customWidth="1"/>
    <col min="3" max="3" width="12.5" bestFit="1" customWidth="1"/>
    <col min="4" max="4" width="8.296875" bestFit="1" customWidth="1"/>
    <col min="5" max="5" width="5.5" bestFit="1" customWidth="1"/>
    <col min="6" max="6" width="5.69921875" bestFit="1" customWidth="1"/>
    <col min="7" max="7" width="6.5" bestFit="1" customWidth="1"/>
    <col min="8" max="8" width="11" bestFit="1" customWidth="1"/>
    <col min="9" max="13" width="10.69921875" bestFit="1" customWidth="1"/>
    <col min="14" max="14" width="13.296875" bestFit="1" customWidth="1"/>
  </cols>
  <sheetData>
    <row r="2" spans="2:14" x14ac:dyDescent="0.3">
      <c r="D2" s="14">
        <v>0.1</v>
      </c>
      <c r="E2" s="15"/>
      <c r="H2" s="16">
        <v>43373</v>
      </c>
      <c r="I2" s="16">
        <v>43466</v>
      </c>
      <c r="J2" s="16">
        <f>EDATE(I2,12)</f>
        <v>43831</v>
      </c>
      <c r="K2" s="16">
        <f t="shared" ref="K2:M2" si="0">EDATE(J2,12)</f>
        <v>44197</v>
      </c>
      <c r="L2" s="16">
        <f t="shared" si="0"/>
        <v>44562</v>
      </c>
      <c r="M2" s="16">
        <f t="shared" si="0"/>
        <v>44927</v>
      </c>
    </row>
    <row r="3" spans="2:14" x14ac:dyDescent="0.3">
      <c r="C3" s="17" t="s">
        <v>11</v>
      </c>
      <c r="D3" s="17" t="s">
        <v>4</v>
      </c>
      <c r="E3" s="17" t="s">
        <v>12</v>
      </c>
      <c r="F3" s="17" t="s">
        <v>13</v>
      </c>
      <c r="G3" s="18" t="s">
        <v>14</v>
      </c>
      <c r="H3" s="18" t="s">
        <v>15</v>
      </c>
      <c r="I3" s="18" t="s">
        <v>16</v>
      </c>
      <c r="J3" s="18" t="s">
        <v>17</v>
      </c>
      <c r="K3" s="18" t="s">
        <v>18</v>
      </c>
      <c r="L3" s="18" t="s">
        <v>19</v>
      </c>
      <c r="M3" s="18" t="s">
        <v>20</v>
      </c>
      <c r="N3" s="17" t="s">
        <v>21</v>
      </c>
    </row>
    <row r="4" spans="2:14" x14ac:dyDescent="0.3">
      <c r="B4" s="9" t="s">
        <v>22</v>
      </c>
      <c r="C4" s="19">
        <f>SUM(I4:M4)/H4</f>
        <v>-2</v>
      </c>
      <c r="D4" s="20">
        <f>NPV(D2,H4:M4)</f>
        <v>564.47393005377637</v>
      </c>
      <c r="E4" s="21">
        <f>IRR(H4:M4)</f>
        <v>0.17112389870298039</v>
      </c>
      <c r="F4" s="22">
        <f>MIRR(H4:M4,4%,5%)</f>
        <v>0.15467378102585783</v>
      </c>
      <c r="G4" s="22">
        <f>XIRR($H4:$M4,$H$2:$M$2)</f>
        <v>0.21119274497032167</v>
      </c>
      <c r="H4" s="23">
        <v>-2000</v>
      </c>
      <c r="I4" s="24">
        <v>200</v>
      </c>
      <c r="J4" s="25">
        <v>200</v>
      </c>
      <c r="K4" s="25">
        <v>200</v>
      </c>
      <c r="L4" s="25">
        <v>200</v>
      </c>
      <c r="M4" s="25">
        <v>3200</v>
      </c>
      <c r="N4" s="23">
        <f t="shared" ref="N4:N11" si="1">SUM(I4:M4)</f>
        <v>4000</v>
      </c>
    </row>
    <row r="5" spans="2:14" x14ac:dyDescent="0.3">
      <c r="B5" s="9" t="s">
        <v>23</v>
      </c>
      <c r="C5" s="19">
        <f t="shared" ref="C5:C11" si="2">SUM(I5:M5)/H5</f>
        <v>-2</v>
      </c>
      <c r="D5" s="20">
        <f>NPV(D2,H5:M5)</f>
        <v>570.11866935431431</v>
      </c>
      <c r="E5" s="26">
        <f t="shared" ref="E5:E11" si="3">IRR(H5:M5)</f>
        <v>0.17219567697910376</v>
      </c>
      <c r="F5" s="27">
        <f t="shared" ref="F5:F11" si="4">MIRR(H5:M5,4%,5%)</f>
        <v>0.15495492016004264</v>
      </c>
      <c r="G5" s="27">
        <f t="shared" ref="G5:G11" si="5">XIRR($H5:$M5,$H$2:$M$2)</f>
        <v>0.2128379881381989</v>
      </c>
      <c r="H5" s="28">
        <v>-2000</v>
      </c>
      <c r="I5" s="29">
        <v>200</v>
      </c>
      <c r="J5" s="30">
        <v>200</v>
      </c>
      <c r="K5" s="30">
        <v>200</v>
      </c>
      <c r="L5" s="30">
        <v>300</v>
      </c>
      <c r="M5" s="30">
        <v>3100</v>
      </c>
      <c r="N5" s="28">
        <f t="shared" si="1"/>
        <v>4000</v>
      </c>
    </row>
    <row r="6" spans="2:14" x14ac:dyDescent="0.3">
      <c r="B6" s="9" t="s">
        <v>24</v>
      </c>
      <c r="C6" s="19">
        <f t="shared" si="2"/>
        <v>-2</v>
      </c>
      <c r="D6" s="20">
        <f>NPV(D2,H6:M6)</f>
        <v>745.10558767098507</v>
      </c>
      <c r="E6" s="31">
        <f t="shared" si="3"/>
        <v>0.21015497033219699</v>
      </c>
      <c r="F6" s="32">
        <f t="shared" si="4"/>
        <v>0.16353748451350292</v>
      </c>
      <c r="G6" s="32">
        <f t="shared" si="5"/>
        <v>0.27313596606254587</v>
      </c>
      <c r="H6" s="33">
        <v>-2000</v>
      </c>
      <c r="I6" s="34">
        <v>200</v>
      </c>
      <c r="J6" s="35">
        <v>200</v>
      </c>
      <c r="K6" s="35">
        <v>200</v>
      </c>
      <c r="L6" s="35">
        <v>3400</v>
      </c>
      <c r="M6" s="35">
        <v>0</v>
      </c>
      <c r="N6" s="33">
        <f t="shared" si="1"/>
        <v>4000</v>
      </c>
    </row>
    <row r="7" spans="2:14" x14ac:dyDescent="0.3">
      <c r="B7" s="9" t="s">
        <v>25</v>
      </c>
      <c r="C7" s="19">
        <f t="shared" si="2"/>
        <v>-2</v>
      </c>
      <c r="D7" s="20">
        <f>NPV(D2,H7:M7)</f>
        <v>765.0061160750314</v>
      </c>
      <c r="E7" s="26">
        <f t="shared" si="3"/>
        <v>0.21602643712711722</v>
      </c>
      <c r="F7" s="27">
        <f t="shared" si="4"/>
        <v>0.16442446165922142</v>
      </c>
      <c r="G7" s="27">
        <f t="shared" si="5"/>
        <v>0.28375881314277651</v>
      </c>
      <c r="H7" s="28">
        <v>-2000</v>
      </c>
      <c r="I7" s="29">
        <v>250</v>
      </c>
      <c r="J7" s="30">
        <v>250</v>
      </c>
      <c r="K7" s="30">
        <v>250</v>
      </c>
      <c r="L7" s="30">
        <v>3250</v>
      </c>
      <c r="M7" s="30">
        <v>0</v>
      </c>
      <c r="N7" s="28">
        <f t="shared" si="1"/>
        <v>4000</v>
      </c>
    </row>
    <row r="8" spans="2:14" x14ac:dyDescent="0.3">
      <c r="B8" s="9" t="s">
        <v>26</v>
      </c>
      <c r="C8" s="19">
        <f t="shared" si="2"/>
        <v>-2</v>
      </c>
      <c r="D8" s="20">
        <f>NPV(D2,H8:M8)</f>
        <v>966.80554606925682</v>
      </c>
      <c r="E8" s="31">
        <f t="shared" si="3"/>
        <v>0.28393503959869926</v>
      </c>
      <c r="F8" s="32">
        <f t="shared" si="4"/>
        <v>0.17356100987107603</v>
      </c>
      <c r="G8" s="32">
        <f t="shared" si="5"/>
        <v>0.41104167103767408</v>
      </c>
      <c r="H8" s="33">
        <v>-2000</v>
      </c>
      <c r="I8" s="36">
        <v>250</v>
      </c>
      <c r="J8" s="37">
        <v>250</v>
      </c>
      <c r="K8" s="37">
        <v>3500</v>
      </c>
      <c r="L8" s="37">
        <v>0</v>
      </c>
      <c r="M8" s="37">
        <v>0</v>
      </c>
      <c r="N8" s="33">
        <f t="shared" si="1"/>
        <v>4000</v>
      </c>
    </row>
    <row r="9" spans="2:14" x14ac:dyDescent="0.3">
      <c r="B9" s="9" t="s">
        <v>27</v>
      </c>
      <c r="C9" s="19">
        <f t="shared" si="2"/>
        <v>-2</v>
      </c>
      <c r="D9" s="20">
        <f>NPV(D2,H9:M9)</f>
        <v>1019.7390888600497</v>
      </c>
      <c r="E9" s="26">
        <f t="shared" si="3"/>
        <v>0.3119841877840297</v>
      </c>
      <c r="F9" s="27">
        <f t="shared" si="4"/>
        <v>0.17576866792722501</v>
      </c>
      <c r="G9" s="27">
        <f t="shared" si="5"/>
        <v>0.47832824587821965</v>
      </c>
      <c r="H9" s="28">
        <v>-2000</v>
      </c>
      <c r="I9" s="29">
        <v>500</v>
      </c>
      <c r="J9" s="30">
        <v>500</v>
      </c>
      <c r="K9" s="30">
        <v>3000</v>
      </c>
      <c r="L9" s="30">
        <v>0</v>
      </c>
      <c r="M9" s="30">
        <v>0</v>
      </c>
      <c r="N9" s="28">
        <f t="shared" si="1"/>
        <v>4000</v>
      </c>
    </row>
    <row r="10" spans="2:14" x14ac:dyDescent="0.3">
      <c r="B10" s="9" t="s">
        <v>28</v>
      </c>
      <c r="C10" s="19">
        <f t="shared" si="2"/>
        <v>-2</v>
      </c>
      <c r="D10" s="20">
        <f>NPV(D2,H10:M10)</f>
        <v>1224.643125469571</v>
      </c>
      <c r="E10" s="31">
        <f t="shared" si="3"/>
        <v>0.45376822659183125</v>
      </c>
      <c r="F10" s="32">
        <f t="shared" si="4"/>
        <v>0.18429734932457231</v>
      </c>
      <c r="G10" s="32">
        <f t="shared" si="5"/>
        <v>0.88974536657333392</v>
      </c>
      <c r="H10" s="33">
        <v>-2000</v>
      </c>
      <c r="I10" s="36">
        <v>500</v>
      </c>
      <c r="J10" s="37">
        <v>3500</v>
      </c>
      <c r="K10" s="37">
        <v>0</v>
      </c>
      <c r="L10" s="37">
        <v>0</v>
      </c>
      <c r="M10" s="37">
        <v>0</v>
      </c>
      <c r="N10" s="33">
        <f t="shared" si="1"/>
        <v>4000</v>
      </c>
    </row>
    <row r="11" spans="2:14" x14ac:dyDescent="0.3">
      <c r="B11" s="9" t="s">
        <v>29</v>
      </c>
      <c r="C11" s="19">
        <f t="shared" si="2"/>
        <v>-2</v>
      </c>
      <c r="D11" s="20">
        <f>NPV(D2,H11:M11)</f>
        <v>1487.6033057851234</v>
      </c>
      <c r="E11" s="38">
        <f t="shared" si="3"/>
        <v>1</v>
      </c>
      <c r="F11" s="39">
        <f t="shared" si="4"/>
        <v>0.19442102186947707</v>
      </c>
      <c r="G11" s="39">
        <f t="shared" si="5"/>
        <v>14.186643886566163</v>
      </c>
      <c r="H11" s="40">
        <v>-2000</v>
      </c>
      <c r="I11" s="41">
        <v>4000</v>
      </c>
      <c r="J11" s="42">
        <v>0</v>
      </c>
      <c r="K11" s="42">
        <v>0</v>
      </c>
      <c r="L11" s="42">
        <v>0</v>
      </c>
      <c r="M11" s="42">
        <v>0</v>
      </c>
      <c r="N11" s="40">
        <f t="shared" si="1"/>
        <v>4000</v>
      </c>
    </row>
    <row r="13" spans="2:14" x14ac:dyDescent="0.3">
      <c r="H13" s="43"/>
      <c r="I13" s="43"/>
      <c r="J13" s="43"/>
      <c r="K13" s="43"/>
      <c r="L13" s="43"/>
      <c r="M13" s="43"/>
    </row>
    <row r="14" spans="2:14" x14ac:dyDescent="0.3">
      <c r="C14" s="17" t="s">
        <v>11</v>
      </c>
      <c r="D14" s="17" t="s">
        <v>4</v>
      </c>
      <c r="E14" s="17" t="s">
        <v>12</v>
      </c>
      <c r="F14" s="17" t="s">
        <v>13</v>
      </c>
      <c r="G14" s="18" t="s">
        <v>14</v>
      </c>
      <c r="H14" s="18" t="s">
        <v>15</v>
      </c>
      <c r="I14" s="18" t="s">
        <v>16</v>
      </c>
      <c r="J14" s="18" t="s">
        <v>17</v>
      </c>
      <c r="K14" s="18" t="s">
        <v>18</v>
      </c>
      <c r="L14" s="18" t="s">
        <v>19</v>
      </c>
      <c r="M14" s="18" t="s">
        <v>20</v>
      </c>
      <c r="N14" s="17" t="s">
        <v>21</v>
      </c>
    </row>
    <row r="15" spans="2:14" x14ac:dyDescent="0.3">
      <c r="B15" s="9" t="s">
        <v>30</v>
      </c>
      <c r="C15" s="19">
        <f t="shared" ref="C15:C16" si="6">SUM(I15:M15)/H15</f>
        <v>-12.5</v>
      </c>
      <c r="D15" s="20">
        <f>NPV(D2,H15:M15)</f>
        <v>12293.666433162611</v>
      </c>
      <c r="E15" s="21">
        <f t="shared" ref="E15:E16" si="7">IRR(H15:M15)</f>
        <v>0.65722700866718897</v>
      </c>
      <c r="F15" s="22">
        <f t="shared" ref="F15:F16" si="8">MIRR(H15:M15,4%,5%)</f>
        <v>0.6572270086699934</v>
      </c>
      <c r="G15" s="22">
        <f t="shared" ref="G15:G16" si="9">XIRR($H15:$M15,$H$2:$M$2)</f>
        <v>0.80983816385269169</v>
      </c>
      <c r="H15" s="23">
        <v>-2000</v>
      </c>
      <c r="I15" s="24">
        <v>0</v>
      </c>
      <c r="J15" s="25">
        <v>0</v>
      </c>
      <c r="K15" s="25">
        <v>0</v>
      </c>
      <c r="L15" s="25">
        <v>0</v>
      </c>
      <c r="M15" s="25">
        <v>25000</v>
      </c>
      <c r="N15" s="23">
        <f>SUM(I15:M15)</f>
        <v>25000</v>
      </c>
    </row>
    <row r="16" spans="2:14" x14ac:dyDescent="0.3">
      <c r="B16" s="9" t="s">
        <v>31</v>
      </c>
      <c r="C16" s="19">
        <f t="shared" si="6"/>
        <v>-3.5841599703093916</v>
      </c>
      <c r="D16" s="20">
        <f>NPV(D2,H16:M16)</f>
        <v>3122.4677072335321</v>
      </c>
      <c r="E16" s="38">
        <f t="shared" si="7"/>
        <v>0.65995513107235637</v>
      </c>
      <c r="F16" s="39">
        <f t="shared" si="8"/>
        <v>0.31692140292163518</v>
      </c>
      <c r="G16" s="39">
        <f t="shared" si="9"/>
        <v>1.3229886889457705</v>
      </c>
      <c r="H16" s="40">
        <v>-2000</v>
      </c>
      <c r="I16" s="41">
        <v>1433.6639881237566</v>
      </c>
      <c r="J16" s="42">
        <f>I16</f>
        <v>1433.6639881237566</v>
      </c>
      <c r="K16" s="42">
        <f t="shared" ref="K16:M16" si="10">J16</f>
        <v>1433.6639881237566</v>
      </c>
      <c r="L16" s="42">
        <f t="shared" si="10"/>
        <v>1433.6639881237566</v>
      </c>
      <c r="M16" s="42">
        <f t="shared" si="10"/>
        <v>1433.6639881237566</v>
      </c>
      <c r="N16" s="40">
        <f>SUM(I16:M16)</f>
        <v>7168.3199406187832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2017-09-24T16:32:45Z</dcterms:created>
  <dcterms:modified xsi:type="dcterms:W3CDTF">2025-12-31T13:49:11Z</dcterms:modified>
</cp:coreProperties>
</file>