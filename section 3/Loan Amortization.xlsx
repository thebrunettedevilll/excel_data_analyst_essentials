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74" documentId="11_258BB99804B9CF5485B865F7FEC9B199C3C50C75" xr6:coauthVersionLast="47" xr6:coauthVersionMax="47" xr10:uidLastSave="{8D635EDE-82F0-42E8-85AD-49BD1CAD4059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G17" i="1"/>
  <c r="D18" i="1"/>
  <c r="E18" i="1"/>
  <c r="E17" i="1"/>
  <c r="F16" i="1"/>
  <c r="G16" i="1"/>
  <c r="D17" i="1"/>
  <c r="E16" i="1"/>
  <c r="F15" i="1"/>
  <c r="E12" i="1"/>
  <c r="E14" i="1"/>
  <c r="E15" i="1"/>
  <c r="F14" i="1"/>
  <c r="F13" i="1"/>
  <c r="E13" i="1"/>
  <c r="F12" i="1"/>
  <c r="F11" i="1"/>
  <c r="E11" i="1"/>
  <c r="F10" i="1"/>
  <c r="E10" i="1"/>
  <c r="F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E9" i="1"/>
  <c r="D9" i="1"/>
  <c r="G32" i="1"/>
  <c r="G8" i="1"/>
  <c r="F8" i="1"/>
  <c r="E8" i="1"/>
  <c r="D8" i="1"/>
  <c r="G7" i="1"/>
</calcChain>
</file>

<file path=xl/sharedStrings.xml><?xml version="1.0" encoding="utf-8"?>
<sst xmlns="http://schemas.openxmlformats.org/spreadsheetml/2006/main" count="11" uniqueCount="9">
  <si>
    <t>Loan Amount</t>
  </si>
  <si>
    <t>Loan Term (yrs)</t>
  </si>
  <si>
    <t>Interest rate</t>
  </si>
  <si>
    <t>Year #</t>
  </si>
  <si>
    <t>Beginning Balance</t>
  </si>
  <si>
    <t>Interest Paid</t>
  </si>
  <si>
    <t>Ending Balance</t>
  </si>
  <si>
    <t>NA</t>
  </si>
  <si>
    <t>Principal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</si>
</sst>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right"/>
    </xf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0" applyNumberFormat="1" applyFill="1" applyBorder="1"/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0" fontId="0" fillId="0" borderId="1" xfId="0" quotePrefix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32"/>
  <sheetViews>
    <sheetView tabSelected="1" zoomScale="72" zoomScaleNormal="72" workbookViewId="0">
      <selection activeCell="E33" sqref="E33"/>
    </sheetView>
  </sheetViews>
  <sheetFormatPr defaultColWidth="11.19921875" defaultRowHeight="15.6" x14ac:dyDescent="0.3"/>
  <cols>
    <col min="1" max="2" width="1.296875" customWidth="1"/>
    <col min="3" max="3" width="17.5" bestFit="1" customWidth="1"/>
    <col min="4" max="4" width="16.19921875" bestFit="1" customWidth="1"/>
    <col min="5" max="5" width="11.296875" bestFit="1" customWidth="1"/>
    <col min="6" max="6" width="12.19921875" bestFit="1" customWidth="1"/>
    <col min="7" max="7" width="13.5" bestFit="1" customWidth="1"/>
    <col min="8" max="8" width="7.796875" bestFit="1" customWidth="1"/>
    <col min="9" max="24" width="6.796875" bestFit="1" customWidth="1"/>
  </cols>
  <sheetData>
    <row r="2" spans="3:7" x14ac:dyDescent="0.3">
      <c r="C2" s="1" t="s">
        <v>0</v>
      </c>
      <c r="D2" s="3">
        <v>250000</v>
      </c>
    </row>
    <row r="3" spans="3:7" x14ac:dyDescent="0.3">
      <c r="C3" s="1" t="s">
        <v>1</v>
      </c>
      <c r="D3" s="2">
        <v>25</v>
      </c>
    </row>
    <row r="4" spans="3:7" x14ac:dyDescent="0.3">
      <c r="C4" s="1" t="s">
        <v>2</v>
      </c>
      <c r="D4" s="4">
        <v>0.05</v>
      </c>
    </row>
    <row r="6" spans="3:7" x14ac:dyDescent="0.3">
      <c r="C6" s="5" t="s">
        <v>3</v>
      </c>
      <c r="D6" s="5" t="s">
        <v>4</v>
      </c>
      <c r="E6" s="5" t="s">
        <v>5</v>
      </c>
      <c r="F6" s="5" t="s">
        <v>8</v>
      </c>
      <c r="G6" s="5" t="s">
        <v>6</v>
      </c>
    </row>
    <row r="7" spans="3:7" x14ac:dyDescent="0.3">
      <c r="C7" s="6">
        <v>0</v>
      </c>
      <c r="D7" s="7" t="s">
        <v>7</v>
      </c>
      <c r="E7" s="7" t="s">
        <v>7</v>
      </c>
      <c r="F7" s="7" t="s">
        <v>7</v>
      </c>
      <c r="G7" s="8">
        <f>D2</f>
        <v>250000</v>
      </c>
    </row>
    <row r="8" spans="3:7" x14ac:dyDescent="0.3">
      <c r="C8" s="6">
        <v>1</v>
      </c>
      <c r="D8" s="3">
        <f>G7</f>
        <v>250000</v>
      </c>
      <c r="E8" s="3">
        <f>IPMT($D$4,C8,D3,D2)</f>
        <v>-12500</v>
      </c>
      <c r="F8" s="3">
        <f>PPMT($D$4,C8,D3,D2)</f>
        <v>-5238.114324807404</v>
      </c>
      <c r="G8" s="3">
        <f>D8+F8</f>
        <v>244761.88567519261</v>
      </c>
    </row>
    <row r="9" spans="3:7" x14ac:dyDescent="0.3">
      <c r="C9" s="6">
        <v>2</v>
      </c>
      <c r="D9" s="3">
        <f t="shared" ref="D9:D32" si="0">G8</f>
        <v>244761.88567519261</v>
      </c>
      <c r="E9" s="3">
        <f>IPMT($D$4,C9,D3,D9)</f>
        <v>-11981.67613585521</v>
      </c>
      <c r="F9" s="3">
        <f>PPMT($D$4,C9,D3,D9)</f>
        <v>-5384.7811059928144</v>
      </c>
      <c r="G9" s="3">
        <f t="shared" ref="G9:G32" si="1">D9+F9</f>
        <v>239377.10456919979</v>
      </c>
    </row>
    <row r="10" spans="3:7" x14ac:dyDescent="0.3">
      <c r="C10" s="6">
        <v>3</v>
      </c>
      <c r="D10" s="3">
        <f t="shared" si="0"/>
        <v>239377.10456919979</v>
      </c>
      <c r="E10" s="3">
        <f>IPMT($D$4,C10,D3,D10)</f>
        <v>-11454.762525865302</v>
      </c>
      <c r="F10" s="3">
        <f>PPMT($D$4,C10,D3,D10)</f>
        <v>-5529.631264494069</v>
      </c>
      <c r="G10" s="3">
        <f t="shared" si="1"/>
        <v>233847.47330470572</v>
      </c>
    </row>
    <row r="11" spans="3:7" x14ac:dyDescent="0.3">
      <c r="C11" s="6">
        <v>4</v>
      </c>
      <c r="D11" s="3">
        <f t="shared" si="0"/>
        <v>233847.47330470572</v>
      </c>
      <c r="E11" s="3">
        <f>IPMT($D$4,C11,D3,D11)</f>
        <v>-10920.061731500859</v>
      </c>
      <c r="F11" s="3">
        <f>PPMT($D$4,C11,D3,D11)</f>
        <v>-5671.9911326840129</v>
      </c>
      <c r="G11" s="3">
        <f t="shared" si="1"/>
        <v>228175.4821720217</v>
      </c>
    </row>
    <row r="12" spans="3:7" x14ac:dyDescent="0.3">
      <c r="C12" s="6">
        <v>5</v>
      </c>
      <c r="D12" s="3">
        <f t="shared" si="0"/>
        <v>228175.4821720217</v>
      </c>
      <c r="E12" s="3">
        <f>IPMT($D$4,C12,D3,D12)</f>
        <v>-10378.473844753882</v>
      </c>
      <c r="F12" s="3">
        <f>PPMT($D$4,C12,D3,D12)</f>
        <v>-5811.137310787617</v>
      </c>
      <c r="G12" s="3">
        <f t="shared" si="1"/>
        <v>222364.34486123407</v>
      </c>
    </row>
    <row r="13" spans="3:7" x14ac:dyDescent="0.3">
      <c r="C13" s="6">
        <v>6</v>
      </c>
      <c r="D13" s="3">
        <f t="shared" si="0"/>
        <v>222364.34486123407</v>
      </c>
      <c r="E13" s="3">
        <f>IPMT($D$4,C13,D3,D13)</f>
        <v>-9830.9994954076919</v>
      </c>
      <c r="F13" s="3">
        <f>PPMT($D$4,C13,D3,D13)</f>
        <v>-5946.2971882301881</v>
      </c>
      <c r="G13" s="3">
        <f t="shared" si="1"/>
        <v>216418.04767300389</v>
      </c>
    </row>
    <row r="14" spans="3:7" x14ac:dyDescent="0.3">
      <c r="C14" s="6">
        <v>7</v>
      </c>
      <c r="D14" s="3">
        <f t="shared" si="0"/>
        <v>216418.04767300389</v>
      </c>
      <c r="E14" s="3">
        <f>IPMT($D$4,C14,D3,D14)</f>
        <v>-9278.7421353004211</v>
      </c>
      <c r="F14" s="3">
        <f>PPMT($D$4,C14,D3,D14)</f>
        <v>-6076.6501510010266</v>
      </c>
      <c r="G14" s="3">
        <f t="shared" si="1"/>
        <v>210341.39752200287</v>
      </c>
    </row>
    <row r="15" spans="3:7" x14ac:dyDescent="0.3">
      <c r="C15" s="6">
        <v>8</v>
      </c>
      <c r="D15" s="3">
        <f t="shared" si="0"/>
        <v>210341.39752200287</v>
      </c>
      <c r="E15" s="3">
        <f>IPMT($D$4,C15,D3,D15)</f>
        <v>-8722.9094524826724</v>
      </c>
      <c r="F15" s="3">
        <f>PPMT($D$4,C15,D3,D15)</f>
        <v>-6201.3295734575177</v>
      </c>
      <c r="G15" s="3">
        <f t="shared" si="1"/>
        <v>204140.06794854536</v>
      </c>
    </row>
    <row r="16" spans="3:7" x14ac:dyDescent="0.3">
      <c r="C16" s="6">
        <v>9</v>
      </c>
      <c r="D16" s="3">
        <f t="shared" si="0"/>
        <v>204140.06794854536</v>
      </c>
      <c r="E16" s="3">
        <f>IPMT($D$4,C16,D3,D16)</f>
        <v>-8164.8137577593361</v>
      </c>
      <c r="F16" s="3">
        <f>PPMT($D$4,C16,D3,D16)</f>
        <v>-6319.425696421662</v>
      </c>
      <c r="G16" s="3">
        <f t="shared" si="1"/>
        <v>197820.64225212368</v>
      </c>
    </row>
    <row r="17" spans="3:7" x14ac:dyDescent="0.3">
      <c r="C17" s="6">
        <v>10</v>
      </c>
      <c r="D17" s="3">
        <f t="shared" si="0"/>
        <v>197820.64225212368</v>
      </c>
      <c r="E17" s="3">
        <f>IPMT($D$4,C17,D3,D17)</f>
        <v>-7605.8711772533998</v>
      </c>
      <c r="F17" s="3">
        <f>PPMT($D$4,C17,D3,D17)</f>
        <v>-6429.9894950465832</v>
      </c>
      <c r="G17" s="3">
        <f t="shared" si="1"/>
        <v>191390.6527570771</v>
      </c>
    </row>
    <row r="18" spans="3:7" x14ac:dyDescent="0.3">
      <c r="C18" s="6">
        <v>11</v>
      </c>
      <c r="D18" s="3">
        <f t="shared" si="0"/>
        <v>191390.6527570771</v>
      </c>
      <c r="E18" s="3">
        <f>IPMT($D$4,C18,D3,D18)</f>
        <v>-7047.5994779654711</v>
      </c>
      <c r="F18" s="3">
        <f>PPMT($D$4,C18,D3,D18)</f>
        <v>-6532.0376392527269</v>
      </c>
      <c r="G18" s="3">
        <f t="shared" si="1"/>
        <v>184858.61511782437</v>
      </c>
    </row>
    <row r="19" spans="3:7" x14ac:dyDescent="0.3">
      <c r="C19" s="6">
        <v>12</v>
      </c>
      <c r="D19" s="3">
        <f t="shared" si="0"/>
        <v>184858.61511782437</v>
      </c>
      <c r="E19" s="3">
        <f>IPMT($D$4,C19,D3,D19)</f>
        <v>-6491.6143495485776</v>
      </c>
      <c r="F19" s="3">
        <f>PPMT($D$4,C19,D3,D19)</f>
        <v>-6624.5586459935776</v>
      </c>
      <c r="G19" s="3">
        <f t="shared" si="1"/>
        <v>178234.05647183079</v>
      </c>
    </row>
    <row r="20" spans="3:7" x14ac:dyDescent="0.3">
      <c r="C20" s="6">
        <v>13</v>
      </c>
      <c r="D20" s="3">
        <f t="shared" si="0"/>
        <v>178234.05647183079</v>
      </c>
      <c r="E20" s="3">
        <f>IPMT($D$4,C20,D3,D20)</f>
        <v>-5939.6239654852288</v>
      </c>
      <c r="F20" s="3">
        <f>PPMT($D$4,C20,D3,D20)</f>
        <v>-6706.5203156008256</v>
      </c>
      <c r="G20" s="3">
        <f t="shared" si="1"/>
        <v>171527.53615622997</v>
      </c>
    </row>
    <row r="21" spans="3:7" x14ac:dyDescent="0.3">
      <c r="C21" s="6">
        <v>14</v>
      </c>
      <c r="D21" s="3">
        <f t="shared" si="0"/>
        <v>171527.53615622997</v>
      </c>
      <c r="E21" s="3">
        <f>IPMT($D$4,C21,D3,D21)</f>
        <v>-5393.4216514354557</v>
      </c>
      <c r="F21" s="3">
        <f>PPMT($D$4,C21,D3,D21)</f>
        <v>-6776.8785333315163</v>
      </c>
      <c r="G21" s="3">
        <f t="shared" si="1"/>
        <v>164750.65762289846</v>
      </c>
    </row>
    <row r="22" spans="3:7" x14ac:dyDescent="0.3">
      <c r="C22" s="6">
        <v>15</v>
      </c>
      <c r="D22" s="3">
        <f t="shared" si="0"/>
        <v>164750.65762289846</v>
      </c>
      <c r="E22" s="3">
        <f>IPMT($D$4,C22,D3,D22)</f>
        <v>-4854.8764986821116</v>
      </c>
      <c r="F22" s="3">
        <f>PPMT($D$4,C22,D3,D22)</f>
        <v>-6834.5875013265904</v>
      </c>
      <c r="G22" s="3">
        <f t="shared" si="1"/>
        <v>157916.07012157189</v>
      </c>
    </row>
    <row r="23" spans="3:7" x14ac:dyDescent="0.3">
      <c r="C23" s="6">
        <v>16</v>
      </c>
      <c r="D23" s="3">
        <f t="shared" si="0"/>
        <v>157916.07012157189</v>
      </c>
      <c r="E23" s="3">
        <f>IPMT($D$4,C23,D3,D23)</f>
        <v>-4325.9217773393784</v>
      </c>
      <c r="F23" s="3">
        <f>PPMT($D$4,C23,D3,D23)</f>
        <v>-6878.6114448236031</v>
      </c>
      <c r="G23" s="3">
        <f t="shared" si="1"/>
        <v>151037.4586767483</v>
      </c>
    </row>
    <row r="24" spans="3:7" x14ac:dyDescent="0.3">
      <c r="C24" s="6">
        <v>17</v>
      </c>
      <c r="D24" s="3">
        <f t="shared" si="0"/>
        <v>151037.4586767483</v>
      </c>
      <c r="E24" s="3">
        <f>IPMT($D$4,C24,D3,D24)</f>
        <v>-3808.5410283334845</v>
      </c>
      <c r="F24" s="3">
        <f>PPMT($D$4,C24,D3,D24)</f>
        <v>-6907.9378090126556</v>
      </c>
      <c r="G24" s="3">
        <f t="shared" si="1"/>
        <v>144129.52086773564</v>
      </c>
    </row>
    <row r="25" spans="3:7" x14ac:dyDescent="0.3">
      <c r="C25" s="6">
        <v>18</v>
      </c>
      <c r="D25" s="3">
        <f t="shared" si="0"/>
        <v>144129.52086773564</v>
      </c>
      <c r="E25" s="3">
        <f>IPMT($D$4,C25,D3,D25)</f>
        <v>-3304.7517461031271</v>
      </c>
      <c r="F25" s="3">
        <f>PPMT($D$4,C25,D3,D25)</f>
        <v>-6921.591928823309</v>
      </c>
      <c r="G25" s="3">
        <f t="shared" si="1"/>
        <v>137207.92893891234</v>
      </c>
    </row>
    <row r="26" spans="3:7" x14ac:dyDescent="0.3">
      <c r="C26" s="6">
        <v>19</v>
      </c>
      <c r="D26" s="3">
        <f t="shared" si="0"/>
        <v>137207.92893891234</v>
      </c>
      <c r="E26" s="3">
        <f>IPMT($D$4,C26,D3,D26)</f>
        <v>-2816.5866064100187</v>
      </c>
      <c r="F26" s="3">
        <f>PPMT($D$4,C26,D3,D26)</f>
        <v>-6918.6531127438911</v>
      </c>
      <c r="G26" s="3">
        <f t="shared" si="1"/>
        <v>130289.27582616845</v>
      </c>
    </row>
    <row r="27" spans="3:7" x14ac:dyDescent="0.3">
      <c r="C27" s="6">
        <v>20</v>
      </c>
      <c r="D27" s="3">
        <f t="shared" si="0"/>
        <v>130289.27582616845</v>
      </c>
      <c r="E27" s="3">
        <f>IPMT($D$4,C27,D3,D27)</f>
        <v>-2346.0722463537022</v>
      </c>
      <c r="F27" s="3">
        <f>PPMT($D$4,C27,D3,D27)</f>
        <v>-6898.2720332500649</v>
      </c>
      <c r="G27" s="3">
        <f t="shared" si="1"/>
        <v>123391.00379291839</v>
      </c>
    </row>
    <row r="28" spans="3:7" x14ac:dyDescent="0.3">
      <c r="C28" s="6">
        <v>21</v>
      </c>
      <c r="D28" s="3">
        <f t="shared" si="0"/>
        <v>123391.00379291839</v>
      </c>
      <c r="E28" s="3">
        <f>IPMT($D$4,C28,D3,D28)</f>
        <v>-1895.2056671707171</v>
      </c>
      <c r="F28" s="3">
        <f>PPMT($D$4,C28,D3,D28)</f>
        <v>-6859.689260555404</v>
      </c>
      <c r="G28" s="3">
        <f t="shared" si="1"/>
        <v>116531.31453236299</v>
      </c>
    </row>
    <row r="29" spans="3:7" x14ac:dyDescent="0.3">
      <c r="C29" s="6">
        <v>22</v>
      </c>
      <c r="D29" s="3">
        <f t="shared" si="0"/>
        <v>116531.31453236299</v>
      </c>
      <c r="E29" s="3">
        <f>IPMT($D$4,C29,D3,D29)</f>
        <v>-1465.9284048564168</v>
      </c>
      <c r="F29" s="3">
        <f>PPMT($D$4,C29,D3,D29)</f>
        <v>-6802.2547135241639</v>
      </c>
      <c r="G29" s="3">
        <f t="shared" si="1"/>
        <v>109729.05981883882</v>
      </c>
    </row>
    <row r="30" spans="3:7" x14ac:dyDescent="0.3">
      <c r="C30" s="6">
        <v>23</v>
      </c>
      <c r="D30" s="3">
        <f t="shared" si="0"/>
        <v>109729.05981883882</v>
      </c>
      <c r="E30" s="3">
        <f>IPMT($D$4,C30,D3,D30)</f>
        <v>-1060.0986988278867</v>
      </c>
      <c r="F30" s="3">
        <f>PPMT($D$4,C30,D3,D30)</f>
        <v>-6725.4477324528871</v>
      </c>
      <c r="G30" s="3">
        <f t="shared" si="1"/>
        <v>103003.61208638594</v>
      </c>
    </row>
    <row r="31" spans="3:7" x14ac:dyDescent="0.3">
      <c r="C31" s="6">
        <v>24</v>
      </c>
      <c r="D31" s="3">
        <f t="shared" si="0"/>
        <v>103003.61208638594</v>
      </c>
      <c r="E31" s="3">
        <f>IPMT($D$4,C31,D3,D31)</f>
        <v>-679.46198393935185</v>
      </c>
      <c r="F31" s="3">
        <f>PPMT($D$4,C31,D3,D31)</f>
        <v>-6628.8974042863592</v>
      </c>
      <c r="G31" s="3">
        <f t="shared" si="1"/>
        <v>96374.714682099584</v>
      </c>
    </row>
    <row r="32" spans="3:7" x14ac:dyDescent="0.3">
      <c r="C32" s="6">
        <v>25</v>
      </c>
      <c r="D32" s="3">
        <f t="shared" si="0"/>
        <v>96374.714682099584</v>
      </c>
      <c r="E32" s="3">
        <f>IPMT($D$4,C32,D3,D32)</f>
        <v>-325.62013467652906</v>
      </c>
      <c r="F32" s="3">
        <f>PPMT($D$4,C32,D3,D32)</f>
        <v>-6512.4026935305792</v>
      </c>
      <c r="G32" s="3">
        <f t="shared" si="1"/>
        <v>89862.31198856901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2017-09-24T17:24:47Z</dcterms:created>
  <dcterms:modified xsi:type="dcterms:W3CDTF">2025-12-31T14:06:40Z</dcterms:modified>
</cp:coreProperties>
</file>