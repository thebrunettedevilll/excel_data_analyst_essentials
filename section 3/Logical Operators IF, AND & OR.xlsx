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35" documentId="11_0480B7A3445FAECA2A3DCA0EA87B6C9C598F16A8" xr6:coauthVersionLast="47" xr6:coauthVersionMax="47" xr10:uidLastSave="{9AD270DD-2908-407B-AFAF-8F791109F573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9" i="1" l="1"/>
  <c r="J17" i="1"/>
  <c r="J18" i="1"/>
  <c r="I18" i="1"/>
  <c r="I17" i="1"/>
  <c r="I10" i="1"/>
  <c r="I14" i="1"/>
  <c r="I1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I2" i="1"/>
  <c r="I1" i="1"/>
</calcChain>
</file>

<file path=xl/sharedStrings.xml><?xml version="1.0" encoding="utf-8"?>
<sst xmlns="http://schemas.openxmlformats.org/spreadsheetml/2006/main" count="47" uniqueCount="21">
  <si>
    <t>Customer ID</t>
  </si>
  <si>
    <t>Product Type</t>
  </si>
  <si>
    <t>Quantity</t>
  </si>
  <si>
    <t>iPhone 8s</t>
  </si>
  <si>
    <t>iPhone 8</t>
  </si>
  <si>
    <t>iPhone X</t>
  </si>
  <si>
    <t>Unit Price</t>
  </si>
  <si>
    <t>Order ID</t>
  </si>
  <si>
    <t>Order Value</t>
  </si>
  <si>
    <t>Target Total Order Value</t>
  </si>
  <si>
    <t>Actual Total Order Value</t>
  </si>
  <si>
    <t>Target Order Value Achieved?</t>
  </si>
  <si>
    <t>Target Order Quantity Achieved?</t>
  </si>
  <si>
    <t>Actual Total Order Quantity Was</t>
  </si>
  <si>
    <t>Actual Total Order Value Was</t>
  </si>
  <si>
    <t>Objectives Achieved?</t>
  </si>
  <si>
    <t>Actual versus Target</t>
  </si>
  <si>
    <t>Both Objectives Achieved?</t>
  </si>
  <si>
    <t>At Least One Objective Achieved?</t>
  </si>
  <si>
    <t>Actual Total Order Quantity</t>
  </si>
  <si>
    <t>Target Total Order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</si>
</sst>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164" fontId="0" fillId="0" borderId="0" xfId="1" applyFont="1" applyAlignment="1">
      <alignment horizontal="right"/>
    </xf>
    <xf numFmtId="165" fontId="0" fillId="3" borderId="0" xfId="1" applyNumberFormat="1" applyFont="1" applyFill="1" applyAlignment="1">
      <alignment horizontal="right"/>
    </xf>
    <xf numFmtId="0" fontId="0" fillId="4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 indent="1"/>
    </xf>
    <xf numFmtId="165" fontId="0" fillId="3" borderId="0" xfId="0" applyNumberFormat="1" applyFill="1" applyAlignment="1">
      <alignment horizontal="right"/>
    </xf>
    <xf numFmtId="0" fontId="6" fillId="0" borderId="0" xfId="0" applyFont="1"/>
    <xf numFmtId="0" fontId="5" fillId="0" borderId="0" xfId="0" applyFont="1" applyAlignment="1">
      <alignment horizontal="right" indent="1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 indent="1"/>
    </xf>
    <xf numFmtId="164" fontId="0" fillId="0" borderId="0" xfId="0" applyNumberFormat="1" applyAlignment="1">
      <alignment horizontal="left"/>
    </xf>
    <xf numFmtId="3" fontId="0" fillId="3" borderId="0" xfId="0" applyNumberFormat="1" applyFill="1" applyAlignment="1">
      <alignment horizontal="right"/>
    </xf>
    <xf numFmtId="1" fontId="0" fillId="0" borderId="0" xfId="1" applyNumberFormat="1" applyFont="1" applyAlignment="1">
      <alignment horizontal="right"/>
    </xf>
    <xf numFmtId="0" fontId="7" fillId="5" borderId="0" xfId="0" applyFont="1" applyFill="1"/>
  </cellXfs>
  <cellStyles count="20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="78" zoomScaleNormal="78" workbookViewId="0">
      <selection activeCell="J22" sqref="J22"/>
    </sheetView>
  </sheetViews>
  <sheetFormatPr defaultColWidth="10.796875" defaultRowHeight="15.6" x14ac:dyDescent="0.3"/>
  <cols>
    <col min="1" max="1" width="8.19921875" style="7" bestFit="1" customWidth="1"/>
    <col min="2" max="2" width="11.19921875" style="7" hidden="1" customWidth="1"/>
    <col min="3" max="3" width="12" style="7" hidden="1" customWidth="1"/>
    <col min="4" max="4" width="9" style="6" hidden="1" customWidth="1"/>
    <col min="5" max="5" width="8.19921875" style="7" bestFit="1" customWidth="1"/>
    <col min="6" max="6" width="11" style="7" bestFit="1" customWidth="1"/>
    <col min="7" max="7" width="5.69921875" customWidth="1"/>
    <col min="8" max="8" width="28.5" bestFit="1" customWidth="1"/>
    <col min="9" max="9" width="12.69921875" customWidth="1"/>
    <col min="10" max="10" width="18" bestFit="1" customWidth="1"/>
    <col min="11" max="11" width="7.19921875" bestFit="1" customWidth="1"/>
    <col min="12" max="12" width="23.19921875" customWidth="1"/>
  </cols>
  <sheetData>
    <row r="1" spans="1:15" x14ac:dyDescent="0.3">
      <c r="A1" s="1" t="s">
        <v>7</v>
      </c>
      <c r="B1" s="1" t="s">
        <v>0</v>
      </c>
      <c r="C1" s="1" t="s">
        <v>1</v>
      </c>
      <c r="D1" s="2" t="s">
        <v>6</v>
      </c>
      <c r="E1" s="1" t="s">
        <v>2</v>
      </c>
      <c r="F1" s="1" t="s">
        <v>8</v>
      </c>
      <c r="H1" s="2" t="s">
        <v>19</v>
      </c>
      <c r="I1" s="20">
        <f>SUM(E2:E30)</f>
        <v>14870</v>
      </c>
      <c r="J1" s="7"/>
      <c r="L1" s="21"/>
      <c r="M1" s="16"/>
      <c r="N1" s="14"/>
      <c r="O1" s="14"/>
    </row>
    <row r="2" spans="1:15" x14ac:dyDescent="0.3">
      <c r="A2" s="7">
        <v>2222686</v>
      </c>
      <c r="B2" s="7">
        <v>36</v>
      </c>
      <c r="C2" s="7" t="s">
        <v>3</v>
      </c>
      <c r="D2" s="3">
        <v>2.5</v>
      </c>
      <c r="E2" s="7">
        <v>480</v>
      </c>
      <c r="F2" s="18">
        <f>D2*E2</f>
        <v>1200</v>
      </c>
      <c r="H2" s="2" t="s">
        <v>10</v>
      </c>
      <c r="I2" s="8">
        <f>SUM(F2:F30)</f>
        <v>32515</v>
      </c>
      <c r="J2" s="7"/>
      <c r="K2" s="17"/>
      <c r="L2" s="12"/>
      <c r="M2" s="12"/>
      <c r="N2" s="12"/>
      <c r="O2" s="12"/>
    </row>
    <row r="3" spans="1:15" x14ac:dyDescent="0.3">
      <c r="A3" s="7">
        <v>9137942</v>
      </c>
      <c r="B3" s="7">
        <v>50</v>
      </c>
      <c r="C3" s="7" t="s">
        <v>4</v>
      </c>
      <c r="D3" s="3">
        <v>1.5</v>
      </c>
      <c r="E3" s="7">
        <v>610</v>
      </c>
      <c r="F3" s="18">
        <f t="shared" ref="F3:F30" si="0">D3*E3</f>
        <v>915</v>
      </c>
      <c r="H3" s="7"/>
      <c r="I3" s="6"/>
      <c r="J3" s="7"/>
      <c r="K3" s="17"/>
      <c r="L3" s="12"/>
      <c r="M3" s="12"/>
      <c r="N3" s="12"/>
      <c r="O3" s="12"/>
    </row>
    <row r="4" spans="1:15" x14ac:dyDescent="0.3">
      <c r="A4" s="7">
        <v>2591591</v>
      </c>
      <c r="B4" s="7">
        <v>70</v>
      </c>
      <c r="C4" s="7" t="s">
        <v>5</v>
      </c>
      <c r="D4" s="3">
        <v>3</v>
      </c>
      <c r="E4" s="7">
        <v>490</v>
      </c>
      <c r="F4" s="18">
        <f t="shared" si="0"/>
        <v>1470</v>
      </c>
      <c r="H4" s="2" t="s">
        <v>20</v>
      </c>
      <c r="I4" s="19">
        <v>12500</v>
      </c>
      <c r="J4" s="7"/>
      <c r="K4" s="17"/>
      <c r="L4" s="12"/>
      <c r="M4" s="12"/>
      <c r="N4" s="12"/>
      <c r="O4" s="12"/>
    </row>
    <row r="5" spans="1:15" x14ac:dyDescent="0.3">
      <c r="A5" s="7">
        <v>5727287</v>
      </c>
      <c r="B5" s="7">
        <v>23</v>
      </c>
      <c r="C5" s="7" t="s">
        <v>5</v>
      </c>
      <c r="D5" s="3">
        <v>3</v>
      </c>
      <c r="E5" s="7">
        <v>530</v>
      </c>
      <c r="F5" s="18">
        <f t="shared" si="0"/>
        <v>1590</v>
      </c>
      <c r="H5" s="2" t="s">
        <v>9</v>
      </c>
      <c r="I5" s="4">
        <v>25000</v>
      </c>
      <c r="J5" s="7"/>
      <c r="K5" s="16"/>
      <c r="L5" s="12"/>
      <c r="M5" s="16"/>
      <c r="N5" s="14"/>
      <c r="O5" s="14"/>
    </row>
    <row r="6" spans="1:15" x14ac:dyDescent="0.3">
      <c r="A6" s="7">
        <v>6696095</v>
      </c>
      <c r="B6" s="7">
        <v>80</v>
      </c>
      <c r="C6" s="7" t="s">
        <v>4</v>
      </c>
      <c r="D6" s="3">
        <v>1.5</v>
      </c>
      <c r="E6" s="7">
        <v>520</v>
      </c>
      <c r="F6" s="18">
        <f t="shared" si="0"/>
        <v>780</v>
      </c>
      <c r="H6" s="7"/>
      <c r="I6" s="6"/>
      <c r="J6" s="7"/>
      <c r="K6" s="12"/>
      <c r="L6" s="15"/>
      <c r="M6" s="16"/>
      <c r="N6" s="14"/>
      <c r="O6" s="14"/>
    </row>
    <row r="7" spans="1:15" x14ac:dyDescent="0.3">
      <c r="A7" s="7">
        <v>2071811</v>
      </c>
      <c r="B7" s="7">
        <v>39</v>
      </c>
      <c r="C7" s="7" t="s">
        <v>5</v>
      </c>
      <c r="D7" s="3">
        <v>3</v>
      </c>
      <c r="E7" s="7">
        <v>400</v>
      </c>
      <c r="F7" s="18">
        <f t="shared" si="0"/>
        <v>1200</v>
      </c>
      <c r="H7" s="7"/>
      <c r="I7" s="6"/>
      <c r="J7" s="7"/>
      <c r="L7" s="21"/>
      <c r="M7" s="16"/>
      <c r="N7" s="14"/>
      <c r="O7" s="14"/>
    </row>
    <row r="8" spans="1:15" x14ac:dyDescent="0.3">
      <c r="A8" s="7">
        <v>1681422</v>
      </c>
      <c r="B8" s="7">
        <v>18</v>
      </c>
      <c r="C8" s="7" t="s">
        <v>3</v>
      </c>
      <c r="D8" s="3">
        <v>2.5</v>
      </c>
      <c r="E8" s="7">
        <v>240</v>
      </c>
      <c r="F8" s="18">
        <f t="shared" si="0"/>
        <v>600</v>
      </c>
      <c r="H8" s="2" t="s">
        <v>15</v>
      </c>
      <c r="I8" s="6"/>
      <c r="J8" s="7"/>
      <c r="K8" s="13"/>
      <c r="L8" s="16"/>
      <c r="M8" s="16"/>
      <c r="N8" s="16"/>
      <c r="O8" s="16"/>
    </row>
    <row r="9" spans="1:15" x14ac:dyDescent="0.3">
      <c r="A9" s="7">
        <v>7923665</v>
      </c>
      <c r="B9" s="7">
        <v>28</v>
      </c>
      <c r="C9" s="7" t="s">
        <v>5</v>
      </c>
      <c r="D9" s="3">
        <v>3</v>
      </c>
      <c r="E9" s="7">
        <v>770</v>
      </c>
      <c r="F9" s="18">
        <f t="shared" si="0"/>
        <v>2310</v>
      </c>
      <c r="H9" s="5" t="s">
        <v>12</v>
      </c>
      <c r="I9" s="9" t="b">
        <f>IF(I1&gt;=I4,TRUE,FALSE)</f>
        <v>1</v>
      </c>
      <c r="J9" s="7"/>
      <c r="K9" s="13"/>
      <c r="L9" s="16"/>
      <c r="M9" s="16"/>
      <c r="N9" s="16"/>
      <c r="O9" s="16"/>
    </row>
    <row r="10" spans="1:15" x14ac:dyDescent="0.3">
      <c r="A10" s="7">
        <v>6495990</v>
      </c>
      <c r="B10" s="7">
        <v>66</v>
      </c>
      <c r="C10" s="7" t="s">
        <v>3</v>
      </c>
      <c r="D10" s="3">
        <v>2.5</v>
      </c>
      <c r="E10" s="7">
        <v>120</v>
      </c>
      <c r="F10" s="18">
        <f t="shared" si="0"/>
        <v>300</v>
      </c>
      <c r="H10" s="5" t="s">
        <v>11</v>
      </c>
      <c r="I10" s="9" t="b">
        <f>IF(I2&gt;=I5,TRUE,FALSE)</f>
        <v>1</v>
      </c>
      <c r="J10" s="7"/>
      <c r="K10" s="13"/>
      <c r="L10" s="16"/>
      <c r="M10" s="16"/>
      <c r="N10" s="16"/>
      <c r="O10" s="16"/>
    </row>
    <row r="11" spans="1:15" x14ac:dyDescent="0.3">
      <c r="A11" s="7">
        <v>2884971</v>
      </c>
      <c r="B11" s="7">
        <v>76</v>
      </c>
      <c r="C11" s="7" t="s">
        <v>4</v>
      </c>
      <c r="D11" s="3">
        <v>1.5</v>
      </c>
      <c r="E11" s="7">
        <v>260</v>
      </c>
      <c r="F11" s="18">
        <f t="shared" si="0"/>
        <v>390</v>
      </c>
      <c r="H11" s="7"/>
      <c r="I11" s="6"/>
      <c r="J11" s="7"/>
      <c r="K11" s="13"/>
      <c r="L11" s="16"/>
      <c r="M11" s="16"/>
      <c r="N11" s="16"/>
      <c r="O11" s="16"/>
    </row>
    <row r="12" spans="1:15" x14ac:dyDescent="0.3">
      <c r="A12" s="7">
        <v>3104248</v>
      </c>
      <c r="B12" s="7">
        <v>76</v>
      </c>
      <c r="C12" s="7" t="s">
        <v>4</v>
      </c>
      <c r="D12" s="3">
        <v>1.5</v>
      </c>
      <c r="E12" s="7">
        <v>380</v>
      </c>
      <c r="F12" s="18">
        <f t="shared" si="0"/>
        <v>570</v>
      </c>
      <c r="H12" s="5" t="s">
        <v>17</v>
      </c>
      <c r="I12" s="9" t="b">
        <f>IF(AND(I9,I10),TRUE,FALSE)</f>
        <v>1</v>
      </c>
      <c r="J12" s="7"/>
      <c r="K12" s="13"/>
      <c r="L12" s="16"/>
      <c r="M12" s="16"/>
      <c r="N12" s="16"/>
      <c r="O12" s="16"/>
    </row>
    <row r="13" spans="1:15" x14ac:dyDescent="0.3">
      <c r="A13" s="7">
        <v>6591759</v>
      </c>
      <c r="B13" s="7">
        <v>45</v>
      </c>
      <c r="C13" s="7" t="s">
        <v>5</v>
      </c>
      <c r="D13" s="3">
        <v>3</v>
      </c>
      <c r="E13" s="7">
        <v>220</v>
      </c>
      <c r="F13" s="18">
        <f t="shared" si="0"/>
        <v>660</v>
      </c>
      <c r="H13" s="7"/>
      <c r="I13" s="6"/>
      <c r="J13" s="7"/>
      <c r="K13" s="13"/>
      <c r="L13" s="16"/>
      <c r="M13" s="16"/>
      <c r="N13" s="16"/>
      <c r="O13" s="16"/>
    </row>
    <row r="14" spans="1:15" x14ac:dyDescent="0.3">
      <c r="A14" s="7">
        <v>1654144</v>
      </c>
      <c r="B14" s="7">
        <v>29</v>
      </c>
      <c r="C14" s="7" t="s">
        <v>4</v>
      </c>
      <c r="D14" s="3">
        <v>1.5</v>
      </c>
      <c r="E14" s="7">
        <v>120</v>
      </c>
      <c r="F14" s="18">
        <f t="shared" si="0"/>
        <v>180</v>
      </c>
      <c r="H14" s="5" t="s">
        <v>18</v>
      </c>
      <c r="I14" s="9" t="b">
        <f>IF(OR(I9,I10),TRUE,FALSE)</f>
        <v>1</v>
      </c>
      <c r="J14" s="7"/>
    </row>
    <row r="15" spans="1:15" x14ac:dyDescent="0.3">
      <c r="A15" s="7">
        <v>5838000</v>
      </c>
      <c r="B15" s="7">
        <v>98</v>
      </c>
      <c r="C15" s="7" t="s">
        <v>3</v>
      </c>
      <c r="D15" s="3">
        <v>2.5</v>
      </c>
      <c r="E15" s="7">
        <v>580</v>
      </c>
      <c r="F15" s="18">
        <f t="shared" si="0"/>
        <v>1450</v>
      </c>
      <c r="H15" s="7"/>
      <c r="I15" s="6"/>
      <c r="J15" s="7"/>
    </row>
    <row r="16" spans="1:15" x14ac:dyDescent="0.3">
      <c r="A16" s="7">
        <v>2613499</v>
      </c>
      <c r="B16" s="7">
        <v>46</v>
      </c>
      <c r="C16" s="7" t="s">
        <v>5</v>
      </c>
      <c r="D16" s="3">
        <v>3</v>
      </c>
      <c r="E16" s="7">
        <v>830</v>
      </c>
      <c r="F16" s="18">
        <f t="shared" si="0"/>
        <v>2490</v>
      </c>
      <c r="H16" s="2" t="s">
        <v>16</v>
      </c>
      <c r="I16" s="6"/>
      <c r="J16" s="7"/>
    </row>
    <row r="17" spans="1:10" x14ac:dyDescent="0.3">
      <c r="A17" s="7">
        <v>6452597</v>
      </c>
      <c r="B17" s="7">
        <v>14</v>
      </c>
      <c r="C17" s="7" t="s">
        <v>4</v>
      </c>
      <c r="D17" s="3">
        <v>1.5</v>
      </c>
      <c r="E17" s="7">
        <v>940</v>
      </c>
      <c r="F17" s="18">
        <f t="shared" si="0"/>
        <v>1410</v>
      </c>
      <c r="H17" s="5" t="s">
        <v>13</v>
      </c>
      <c r="I17" s="19">
        <f>I1-I4</f>
        <v>2370</v>
      </c>
      <c r="J17" s="10" t="str">
        <f>IF(I17&gt;0,"Units Over Target","Units Below Target")</f>
        <v>Units Over Target</v>
      </c>
    </row>
    <row r="18" spans="1:10" x14ac:dyDescent="0.3">
      <c r="A18" s="7">
        <v>3597671</v>
      </c>
      <c r="B18" s="7">
        <v>72</v>
      </c>
      <c r="C18" s="7" t="s">
        <v>4</v>
      </c>
      <c r="D18" s="3">
        <v>1.5</v>
      </c>
      <c r="E18" s="7">
        <v>860</v>
      </c>
      <c r="F18" s="18">
        <f t="shared" si="0"/>
        <v>1290</v>
      </c>
      <c r="H18" s="5" t="s">
        <v>14</v>
      </c>
      <c r="I18" s="11">
        <f>I2-I5</f>
        <v>7515</v>
      </c>
      <c r="J18" s="10" t="str">
        <f>IF(I18&gt;0,"Dollars Over Target","Dollars Below Target")</f>
        <v>Dollars Over Target</v>
      </c>
    </row>
    <row r="19" spans="1:10" x14ac:dyDescent="0.3">
      <c r="A19" s="7">
        <v>3497037</v>
      </c>
      <c r="B19" s="7">
        <v>23</v>
      </c>
      <c r="C19" s="7" t="s">
        <v>4</v>
      </c>
      <c r="D19" s="3">
        <v>1.5</v>
      </c>
      <c r="E19" s="7">
        <v>990</v>
      </c>
      <c r="F19" s="18">
        <f t="shared" si="0"/>
        <v>1485</v>
      </c>
      <c r="H19" s="7"/>
      <c r="I19" s="6"/>
      <c r="J19" s="7"/>
    </row>
    <row r="20" spans="1:10" x14ac:dyDescent="0.3">
      <c r="A20" s="7">
        <v>7245825</v>
      </c>
      <c r="B20" s="7">
        <v>60</v>
      </c>
      <c r="C20" s="7" t="s">
        <v>3</v>
      </c>
      <c r="D20" s="3">
        <v>2.5</v>
      </c>
      <c r="E20" s="7">
        <v>420</v>
      </c>
      <c r="F20" s="18">
        <f t="shared" si="0"/>
        <v>1050</v>
      </c>
      <c r="H20" s="7"/>
      <c r="I20" s="6"/>
      <c r="J20" s="7"/>
    </row>
    <row r="21" spans="1:10" x14ac:dyDescent="0.3">
      <c r="A21" s="7">
        <v>3752341</v>
      </c>
      <c r="B21" s="7">
        <v>98</v>
      </c>
      <c r="C21" s="7" t="s">
        <v>5</v>
      </c>
      <c r="D21" s="3">
        <v>3</v>
      </c>
      <c r="E21" s="7">
        <v>680</v>
      </c>
      <c r="F21" s="18">
        <f t="shared" si="0"/>
        <v>2040</v>
      </c>
      <c r="H21" s="7"/>
      <c r="I21" s="6"/>
      <c r="J21" s="7"/>
    </row>
    <row r="22" spans="1:10" x14ac:dyDescent="0.3">
      <c r="A22" s="7">
        <v>2228642</v>
      </c>
      <c r="B22" s="7">
        <v>28</v>
      </c>
      <c r="C22" s="7" t="s">
        <v>4</v>
      </c>
      <c r="D22" s="3">
        <v>1.5</v>
      </c>
      <c r="E22" s="7">
        <v>500</v>
      </c>
      <c r="F22" s="18">
        <f t="shared" si="0"/>
        <v>750</v>
      </c>
      <c r="H22" s="7"/>
      <c r="I22" s="6"/>
      <c r="J22" s="7"/>
    </row>
    <row r="23" spans="1:10" x14ac:dyDescent="0.3">
      <c r="A23" s="7">
        <v>6308184</v>
      </c>
      <c r="B23" s="7">
        <v>97</v>
      </c>
      <c r="C23" s="7" t="s">
        <v>4</v>
      </c>
      <c r="D23" s="3">
        <v>1.5</v>
      </c>
      <c r="E23" s="7">
        <v>420</v>
      </c>
      <c r="F23" s="18">
        <f t="shared" si="0"/>
        <v>630</v>
      </c>
      <c r="H23" s="7"/>
      <c r="I23" s="6"/>
      <c r="J23" s="7"/>
    </row>
    <row r="24" spans="1:10" x14ac:dyDescent="0.3">
      <c r="A24" s="7">
        <v>7322687</v>
      </c>
      <c r="B24" s="7">
        <v>56</v>
      </c>
      <c r="C24" s="7" t="s">
        <v>4</v>
      </c>
      <c r="D24" s="3">
        <v>1.5</v>
      </c>
      <c r="E24" s="7">
        <v>570</v>
      </c>
      <c r="F24" s="18">
        <f t="shared" si="0"/>
        <v>855</v>
      </c>
      <c r="H24" s="7"/>
      <c r="I24" s="6"/>
      <c r="J24" s="7"/>
    </row>
    <row r="25" spans="1:10" x14ac:dyDescent="0.3">
      <c r="A25" s="7">
        <v>6253313</v>
      </c>
      <c r="B25" s="7">
        <v>19</v>
      </c>
      <c r="C25" s="7" t="s">
        <v>5</v>
      </c>
      <c r="D25" s="3">
        <v>3</v>
      </c>
      <c r="E25" s="7">
        <v>250</v>
      </c>
      <c r="F25" s="18">
        <f t="shared" si="0"/>
        <v>750</v>
      </c>
      <c r="H25" s="7"/>
      <c r="I25" s="6"/>
      <c r="J25" s="7"/>
    </row>
    <row r="26" spans="1:10" x14ac:dyDescent="0.3">
      <c r="A26" s="7">
        <v>7136401</v>
      </c>
      <c r="B26" s="7">
        <v>16</v>
      </c>
      <c r="C26" s="7" t="s">
        <v>4</v>
      </c>
      <c r="D26" s="3">
        <v>1.5</v>
      </c>
      <c r="E26" s="7">
        <v>920</v>
      </c>
      <c r="F26" s="18">
        <f t="shared" si="0"/>
        <v>1380</v>
      </c>
      <c r="H26" s="7"/>
      <c r="I26" s="6"/>
      <c r="J26" s="7"/>
    </row>
    <row r="27" spans="1:10" x14ac:dyDescent="0.3">
      <c r="A27" s="7">
        <v>5693278</v>
      </c>
      <c r="B27" s="7">
        <v>17</v>
      </c>
      <c r="C27" s="7" t="s">
        <v>3</v>
      </c>
      <c r="D27" s="3">
        <v>2.5</v>
      </c>
      <c r="E27" s="7">
        <v>360</v>
      </c>
      <c r="F27" s="18">
        <f t="shared" si="0"/>
        <v>900</v>
      </c>
      <c r="H27" s="7"/>
      <c r="I27" s="6"/>
      <c r="J27" s="7"/>
    </row>
    <row r="28" spans="1:10" x14ac:dyDescent="0.3">
      <c r="A28" s="7">
        <v>2637109</v>
      </c>
      <c r="B28" s="7">
        <v>98</v>
      </c>
      <c r="C28" s="7" t="s">
        <v>4</v>
      </c>
      <c r="D28" s="3">
        <v>1.5</v>
      </c>
      <c r="E28" s="7">
        <v>240</v>
      </c>
      <c r="F28" s="18">
        <f t="shared" si="0"/>
        <v>360</v>
      </c>
      <c r="H28" s="7"/>
      <c r="I28" s="6"/>
      <c r="J28" s="7"/>
    </row>
    <row r="29" spans="1:10" x14ac:dyDescent="0.3">
      <c r="A29" s="7">
        <v>4298027</v>
      </c>
      <c r="B29" s="7">
        <v>96</v>
      </c>
      <c r="C29" s="7" t="s">
        <v>5</v>
      </c>
      <c r="D29" s="3">
        <v>3</v>
      </c>
      <c r="E29" s="7">
        <v>450</v>
      </c>
      <c r="F29" s="18">
        <f t="shared" si="0"/>
        <v>1350</v>
      </c>
      <c r="H29" s="7"/>
      <c r="I29" s="6"/>
      <c r="J29" s="7"/>
    </row>
    <row r="30" spans="1:10" x14ac:dyDescent="0.3">
      <c r="A30" s="7">
        <v>1698653</v>
      </c>
      <c r="B30" s="7">
        <v>64</v>
      </c>
      <c r="C30" s="7" t="s">
        <v>5</v>
      </c>
      <c r="D30" s="3">
        <v>3</v>
      </c>
      <c r="E30" s="7">
        <v>720</v>
      </c>
      <c r="F30" s="18">
        <f t="shared" si="0"/>
        <v>2160</v>
      </c>
      <c r="H30" s="7"/>
      <c r="I30" s="6"/>
      <c r="J30" s="7"/>
    </row>
    <row r="31" spans="1:10" x14ac:dyDescent="0.3">
      <c r="H31" s="7"/>
      <c r="I31" s="6"/>
      <c r="J31" s="7"/>
    </row>
    <row r="32" spans="1:10" x14ac:dyDescent="0.3">
      <c r="H32" s="7"/>
      <c r="I32" s="6"/>
      <c r="J32" s="7"/>
    </row>
    <row r="33" spans="8:10" x14ac:dyDescent="0.3">
      <c r="H33" s="7"/>
      <c r="I33" s="6"/>
      <c r="J33" s="7"/>
    </row>
    <row r="37" spans="8:10" x14ac:dyDescent="0.3">
      <c r="H37" s="7"/>
      <c r="I37" s="6"/>
      <c r="J37" s="7"/>
    </row>
    <row r="38" spans="8:10" x14ac:dyDescent="0.3">
      <c r="H38" s="7"/>
      <c r="I38" s="6"/>
      <c r="J3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2017-09-23T20:42:40Z</dcterms:created>
  <dcterms:modified xsi:type="dcterms:W3CDTF">2025-12-31T12:44:37Z</dcterms:modified>
</cp:coreProperties>
</file>